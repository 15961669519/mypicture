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943" windowHeight="9924"/>
  </bookViews>
  <sheets>
    <sheet name="蓝桥1.3BOM" sheetId="1" r:id="rId1"/>
    <sheet name="蓝桥贴片" sheetId="3" r:id="rId2"/>
    <sheet name="优信数据" sheetId="2" r:id="rId3"/>
  </sheets>
  <definedNames>
    <definedName name="_xlnm.Print_Area" localSheetId="0">蓝桥1.3BOM!$A$1:$J$40</definedName>
  </definedNames>
  <calcPr calcId="144525"/>
</workbook>
</file>

<file path=xl/sharedStrings.xml><?xml version="1.0" encoding="utf-8"?>
<sst xmlns="http://schemas.openxmlformats.org/spreadsheetml/2006/main" count="267">
  <si>
    <t>采购序号</t>
  </si>
  <si>
    <t>贴片序号</t>
  </si>
  <si>
    <t>名称</t>
  </si>
  <si>
    <t>规格</t>
  </si>
  <si>
    <t>位号</t>
  </si>
  <si>
    <t>封装</t>
  </si>
  <si>
    <t>数量</t>
  </si>
  <si>
    <t>嘉立创编号</t>
  </si>
  <si>
    <t>采购</t>
  </si>
  <si>
    <t>E</t>
  </si>
  <si>
    <t>TTP223B</t>
  </si>
  <si>
    <t/>
  </si>
  <si>
    <t>U3</t>
  </si>
  <si>
    <t>SOT23-6</t>
  </si>
  <si>
    <t>C2835626</t>
  </si>
  <si>
    <t>LM386M-1</t>
  </si>
  <si>
    <t>Low Voltage Audio Power Amplifier, 8-pin Narrow SOIC</t>
  </si>
  <si>
    <t>U6</t>
  </si>
  <si>
    <t>D0008A_M</t>
  </si>
  <si>
    <t>C383071</t>
  </si>
  <si>
    <t>AMS1117-3V3</t>
  </si>
  <si>
    <t>三端稳压芯片</t>
  </si>
  <si>
    <t>IC3</t>
  </si>
  <si>
    <t>SOT89_N</t>
  </si>
  <si>
    <t>C917152</t>
  </si>
  <si>
    <t>D</t>
  </si>
  <si>
    <t>TF_Card</t>
  </si>
  <si>
    <r>
      <rPr>
        <sz val="8"/>
        <color rgb="FF000000"/>
        <rFont val="Segoe UI"/>
        <charset val="134"/>
      </rPr>
      <t>TF</t>
    </r>
    <r>
      <rPr>
        <sz val="8"/>
        <color rgb="FF000000"/>
        <rFont val="宋体"/>
        <charset val="134"/>
      </rPr>
      <t>卡座</t>
    </r>
  </si>
  <si>
    <r>
      <rPr>
        <sz val="8"/>
        <color rgb="FF000000"/>
        <rFont val="Segoe UI"/>
        <charset val="134"/>
      </rPr>
      <t>SD</t>
    </r>
    <r>
      <rPr>
        <sz val="8"/>
        <color rgb="FF000000"/>
        <rFont val="宋体"/>
        <charset val="134"/>
      </rPr>
      <t>卡</t>
    </r>
    <r>
      <rPr>
        <sz val="8"/>
        <color rgb="FF000000"/>
        <rFont val="Segoe UI"/>
        <charset val="134"/>
      </rPr>
      <t xml:space="preserve">  SPI   4</t>
    </r>
  </si>
  <si>
    <t>Micro SD</t>
  </si>
  <si>
    <t>C4943323</t>
  </si>
  <si>
    <t>USB4105-GF-A</t>
  </si>
  <si>
    <t>CONN RCPT USB2.0 TYPEC 5A</t>
  </si>
  <si>
    <t>USB</t>
  </si>
  <si>
    <t>FP-USB4105-GF-A-MFG</t>
  </si>
  <si>
    <t>C2927293</t>
  </si>
  <si>
    <t>DS1307Z+T&amp;R</t>
  </si>
  <si>
    <t>64 x 8, Serial, I2C Real-Time Clock, 5.0V, 8-Pin SO, 0 to 70 degC, Pb-Free, Reel</t>
  </si>
  <si>
    <t>U5</t>
  </si>
  <si>
    <t>S8+2_L</t>
  </si>
  <si>
    <t>C9868</t>
  </si>
  <si>
    <t>B</t>
  </si>
  <si>
    <t>47uF/25V</t>
  </si>
  <si>
    <t>贴片电解电容</t>
  </si>
  <si>
    <t>CA1</t>
  </si>
  <si>
    <t>CM D(6.3*5.4)</t>
  </si>
  <si>
    <t>C30034</t>
  </si>
  <si>
    <t>104</t>
  </si>
  <si>
    <t>无极性贴片电容</t>
  </si>
  <si>
    <t>C3, C6, C7, C8, C9, C10, C11, C12, C13, C14, C15, C17, C18, C20, C21, C23, C24</t>
  </si>
  <si>
    <t>C 0805_L</t>
  </si>
  <si>
    <t>C49678</t>
  </si>
  <si>
    <t>10UF</t>
  </si>
  <si>
    <t>C2, C22, PC1</t>
  </si>
  <si>
    <t>C15850</t>
  </si>
  <si>
    <t>A</t>
  </si>
  <si>
    <t>1K</t>
  </si>
  <si>
    <t>贴片电阻</t>
  </si>
  <si>
    <t>R2, R5, R6, R7, R9, R15, R18, R19, R20, RN1, RN5, RN6</t>
  </si>
  <si>
    <t>R 0805_L</t>
  </si>
  <si>
    <t>C17513</t>
  </si>
  <si>
    <t>10K</t>
  </si>
  <si>
    <t>R4, R8, R10, R11, R12, R13, R14, R16, R17, R21, R22, R23, R24, RN3, RN4, RR</t>
  </si>
  <si>
    <t>C17414</t>
  </si>
  <si>
    <t>1M</t>
  </si>
  <si>
    <t>R1</t>
  </si>
  <si>
    <t>102</t>
  </si>
  <si>
    <t>贴片网络排阻</t>
  </si>
  <si>
    <t>1, 2, 3</t>
  </si>
  <si>
    <t>RCA-8P4R-0603</t>
  </si>
  <si>
    <t>C20197</t>
  </si>
  <si>
    <t>103</t>
  </si>
  <si>
    <t>5</t>
  </si>
  <si>
    <t>C29718</t>
  </si>
  <si>
    <t>10uF/6.3V</t>
  </si>
  <si>
    <t>贴片钽电容</t>
  </si>
  <si>
    <t>E1</t>
  </si>
  <si>
    <t>CD A(3216)</t>
  </si>
  <si>
    <t>C7171</t>
  </si>
  <si>
    <t>C</t>
  </si>
  <si>
    <t>31</t>
  </si>
  <si>
    <t>LED, RED, 635 nm, 2 V, -25 to 80 degC, 2-Pin SMD, RoHS, Tape and Reel</t>
  </si>
  <si>
    <t>LED1, LED10</t>
  </si>
  <si>
    <t>LUMX-SML-LXT0805_V</t>
  </si>
  <si>
    <t>C84256</t>
  </si>
  <si>
    <t>32</t>
  </si>
  <si>
    <t>LED2</t>
  </si>
  <si>
    <t>33</t>
  </si>
  <si>
    <t>LED3</t>
  </si>
  <si>
    <t>34</t>
  </si>
  <si>
    <t>LED4</t>
  </si>
  <si>
    <t>35</t>
  </si>
  <si>
    <t>LED5</t>
  </si>
  <si>
    <t>36</t>
  </si>
  <si>
    <t>LED6</t>
  </si>
  <si>
    <t>37</t>
  </si>
  <si>
    <t>LED7</t>
  </si>
  <si>
    <t>38</t>
  </si>
  <si>
    <t>LED8</t>
  </si>
  <si>
    <t>贴片电位器</t>
  </si>
  <si>
    <t>RP1, RP2</t>
  </si>
  <si>
    <t>3303W</t>
  </si>
  <si>
    <t>C719176</t>
  </si>
  <si>
    <t>1N4625</t>
  </si>
  <si>
    <r>
      <rPr>
        <sz val="8"/>
        <color rgb="FF000000"/>
        <rFont val="Segoe UI"/>
        <charset val="134"/>
      </rPr>
      <t>5.1V/0.5W</t>
    </r>
    <r>
      <rPr>
        <sz val="8"/>
        <color rgb="FF000000"/>
        <rFont val="宋体"/>
        <charset val="134"/>
      </rPr>
      <t>稳压管</t>
    </r>
  </si>
  <si>
    <t>DZ1</t>
  </si>
  <si>
    <t>MINI_MELF (LL34)</t>
  </si>
  <si>
    <t>C5345992</t>
  </si>
  <si>
    <t>1-50PF</t>
  </si>
  <si>
    <t>C19</t>
  </si>
  <si>
    <t>C1823</t>
  </si>
  <si>
    <t>SS8050</t>
  </si>
  <si>
    <r>
      <rPr>
        <sz val="8"/>
        <color rgb="FF000000"/>
        <rFont val="宋体"/>
        <charset val="134"/>
      </rPr>
      <t>高频放大</t>
    </r>
    <r>
      <rPr>
        <sz val="8"/>
        <color rgb="FF000000"/>
        <rFont val="Segoe UI"/>
        <charset val="134"/>
      </rPr>
      <t>-NPN</t>
    </r>
    <r>
      <rPr>
        <sz val="8"/>
        <color rgb="FF000000"/>
        <rFont val="宋体"/>
        <charset val="134"/>
      </rPr>
      <t>型</t>
    </r>
  </si>
  <si>
    <t>Q1</t>
  </si>
  <si>
    <t>SOT23-3N</t>
  </si>
  <si>
    <t>C2150</t>
  </si>
  <si>
    <t>MSMD200-8V 2A</t>
  </si>
  <si>
    <t>贴片保险丝</t>
  </si>
  <si>
    <t>F1</t>
  </si>
  <si>
    <t>FU 1812</t>
  </si>
  <si>
    <t>C2892433</t>
  </si>
  <si>
    <t>3x6x5</t>
  </si>
  <si>
    <r>
      <rPr>
        <sz val="8"/>
        <color rgb="FF000000"/>
        <rFont val="Segoe UI"/>
        <charset val="134"/>
      </rPr>
      <t>3x6</t>
    </r>
    <r>
      <rPr>
        <sz val="8"/>
        <color rgb="FF000000"/>
        <rFont val="宋体"/>
        <charset val="134"/>
      </rPr>
      <t>轻触开关</t>
    </r>
  </si>
  <si>
    <t>REST</t>
  </si>
  <si>
    <t>TSW SMD-3*6*2.5</t>
  </si>
  <si>
    <t>C5143636</t>
  </si>
  <si>
    <t>CH340C</t>
  </si>
  <si>
    <r>
      <rPr>
        <sz val="8"/>
        <color rgb="FF000000"/>
        <rFont val="宋体"/>
        <charset val="134"/>
      </rPr>
      <t>串口转</t>
    </r>
    <r>
      <rPr>
        <sz val="8"/>
        <color rgb="FF000000"/>
        <rFont val="Segoe UI"/>
        <charset val="134"/>
      </rPr>
      <t>USB</t>
    </r>
  </si>
  <si>
    <t>IC2</t>
  </si>
  <si>
    <t>SOP16_L</t>
  </si>
  <si>
    <t>C7464026</t>
  </si>
  <si>
    <t>TM1650</t>
  </si>
  <si>
    <t>TM1</t>
  </si>
  <si>
    <t>SOP16</t>
  </si>
  <si>
    <t>C18211636</t>
  </si>
  <si>
    <t>LED9</t>
  </si>
  <si>
    <r>
      <rPr>
        <sz val="8"/>
        <color rgb="FF000000"/>
        <rFont val="Segoe UI"/>
        <charset val="134"/>
      </rPr>
      <t>LUMX-SML-LXT0805_V</t>
    </r>
    <r>
      <rPr>
        <sz val="8"/>
        <color rgb="FF000000"/>
        <rFont val="宋体"/>
        <charset val="134"/>
      </rPr>
      <t>蓝色</t>
    </r>
  </si>
  <si>
    <t>ADXL345BCCZ-RL7</t>
  </si>
  <si>
    <t>3-Axis, +/-2 g / +/-4 g / +/-8 g / +/-16 g Digital Accelerometer with Digital Output, 1.6 KHz BW, Industrial, 14-pin LGA, Reel</t>
  </si>
  <si>
    <t>U4</t>
  </si>
  <si>
    <t>ADI-CC-14-1_V</t>
  </si>
  <si>
    <t>C9667</t>
  </si>
  <si>
    <t>PCF8574T</t>
  </si>
  <si>
    <t>IC I/O EXPANDER I2C 8B 16SOIC</t>
  </si>
  <si>
    <t>U1</t>
  </si>
  <si>
    <t>FP-SOT162-1-MFG</t>
  </si>
  <si>
    <t>C561271</t>
  </si>
  <si>
    <t>atmega2560</t>
  </si>
  <si>
    <t>U0</t>
  </si>
  <si>
    <t>LQFP100 14x14_M</t>
  </si>
  <si>
    <t>C2052777</t>
  </si>
  <si>
    <t>F</t>
  </si>
  <si>
    <t>CSTCE8M00G55-R0</t>
  </si>
  <si>
    <t>Ceramic Resonator, 8 MHz, +/- 0.5%, 30/33/39 pF, -20 to 80 degC, 3-Pin SMD, RoHS, Tape and Reel</t>
  </si>
  <si>
    <t>Y1</t>
  </si>
  <si>
    <t>MURA-CSTCE_G_A-3_V</t>
  </si>
  <si>
    <t>C32180</t>
  </si>
  <si>
    <t>32.768kHz</t>
  </si>
  <si>
    <r>
      <rPr>
        <sz val="8"/>
        <color rgb="FF000000"/>
        <rFont val="Segoe UI"/>
        <charset val="134"/>
      </rPr>
      <t>2</t>
    </r>
    <r>
      <rPr>
        <sz val="8"/>
        <color rgb="FF000000"/>
        <rFont val="宋体"/>
        <charset val="134"/>
      </rPr>
      <t>脚无源脚晶振</t>
    </r>
  </si>
  <si>
    <t>Y3</t>
  </si>
  <si>
    <t>OSC-3x8-WI-A</t>
  </si>
  <si>
    <t>1N4148?</t>
  </si>
  <si>
    <t>高速开关二极管</t>
  </si>
  <si>
    <t>D1</t>
  </si>
  <si>
    <r>
      <rPr>
        <sz val="8"/>
        <color rgb="FF000000"/>
        <rFont val="Segoe UI"/>
        <charset val="134"/>
      </rPr>
      <t>104</t>
    </r>
    <r>
      <rPr>
        <sz val="8"/>
        <color rgb="FF000000"/>
        <rFont val="宋体"/>
        <charset val="134"/>
      </rPr>
      <t>（</t>
    </r>
    <r>
      <rPr>
        <sz val="8"/>
        <color rgb="FF000000"/>
        <rFont val="Segoe UI"/>
        <charset val="134"/>
      </rPr>
      <t>NC</t>
    </r>
    <r>
      <rPr>
        <sz val="8"/>
        <color rgb="FF000000"/>
        <rFont val="宋体"/>
        <charset val="134"/>
      </rPr>
      <t>）</t>
    </r>
  </si>
  <si>
    <t>C16</t>
  </si>
  <si>
    <t>型号</t>
  </si>
  <si>
    <t>参数/规格</t>
  </si>
  <si>
    <t>品牌</t>
  </si>
  <si>
    <t>分类</t>
  </si>
  <si>
    <t>单套用量</t>
  </si>
  <si>
    <t>立创商品编号</t>
  </si>
  <si>
    <t>备注</t>
  </si>
  <si>
    <t>实际数量</t>
  </si>
  <si>
    <t>单价</t>
  </si>
  <si>
    <t>合计</t>
  </si>
  <si>
    <t>优信型号</t>
  </si>
  <si>
    <t>MSMD200-8V2A</t>
  </si>
  <si>
    <t>1812</t>
  </si>
  <si>
    <t>15V 0.5A 1812自恢复</t>
  </si>
  <si>
    <r>
      <rPr>
        <sz val="10"/>
        <rFont val="Arial"/>
        <charset val="0"/>
      </rPr>
      <t>BOURNS(</t>
    </r>
    <r>
      <rPr>
        <sz val="10"/>
        <rFont val="宋体"/>
        <charset val="0"/>
      </rPr>
      <t>柏恩斯</t>
    </r>
    <r>
      <rPr>
        <sz val="10"/>
        <rFont val="Arial"/>
        <charset val="0"/>
      </rPr>
      <t>)</t>
    </r>
  </si>
  <si>
    <t>BOURNS/MF-MSMF050-2 1812 贴片自恢复保险丝/保险管 PPTC 0.5A 15V</t>
  </si>
  <si>
    <t>0805</t>
  </si>
  <si>
    <t>100nF ±10% 50V</t>
  </si>
  <si>
    <t>SAMSUNG</t>
  </si>
  <si>
    <t>电容</t>
  </si>
  <si>
    <t>SAMSUNG/0805贴片电容 50V 100NF ±10% X7R CL21B104KBCNNNC</t>
  </si>
  <si>
    <t>SOT-89-3</t>
  </si>
  <si>
    <t>AMS1117S-3.3</t>
  </si>
  <si>
    <t>AMS</t>
  </si>
  <si>
    <t>电源</t>
  </si>
  <si>
    <t>AMS/AMS1117-3.3 SOT-223</t>
  </si>
  <si>
    <t>0603x4</t>
  </si>
  <si>
    <t>1kΩ ±5%</t>
  </si>
  <si>
    <t>厚声</t>
  </si>
  <si>
    <t>电阻</t>
  </si>
  <si>
    <t>4D03WGJ0102T5E 1K±5%</t>
  </si>
  <si>
    <t>SMD,D6.3xL5.4mm</t>
  </si>
  <si>
    <t>47uF ±20% 25V</t>
  </si>
  <si>
    <t>国产中性</t>
  </si>
  <si>
    <t>贴片铝电解电容 25V 47UF 体积 6.3*5.4MM SMD贴片电解</t>
  </si>
  <si>
    <t>SOP-16</t>
  </si>
  <si>
    <t>天微</t>
  </si>
  <si>
    <t>天微/TM1650 SOP-16</t>
  </si>
  <si>
    <t>SMD</t>
  </si>
  <si>
    <t>6.05*3.7*2.5mm 立贴 轻触开关</t>
  </si>
  <si>
    <t>开关</t>
  </si>
  <si>
    <t>国产中性 20只起拍不拆 参考链接：https://item.taobao.com/item.htm?id=556985020016&amp;spm=a1z10.3-c-s.w4002-24706531953.30.5ff86a4bJC7AMo</t>
  </si>
  <si>
    <t>散装/3*6*2.5/贴片2脚/白色</t>
  </si>
  <si>
    <t>100K</t>
  </si>
  <si>
    <t>100kΩ ±1% 125mW 厚膜电阻</t>
  </si>
  <si>
    <t>C149504</t>
  </si>
  <si>
    <t>0805W8F1003T5E</t>
  </si>
  <si>
    <t>Type-C 母 卧贴</t>
  </si>
  <si>
    <t>插座</t>
  </si>
  <si>
    <r>
      <rPr>
        <sz val="10"/>
        <color rgb="FFFF0000"/>
        <rFont val="宋体"/>
        <charset val="0"/>
      </rPr>
      <t>参考链接：</t>
    </r>
    <r>
      <rPr>
        <sz val="10"/>
        <color rgb="FFFF0000"/>
        <rFont val="Arial"/>
        <charset val="0"/>
      </rPr>
      <t>https://item.taobao.com/item.htm?id=573089663803&amp;spm=a1z10.3-c-s.w4002-24706531953.10.241a6a4buMDibO</t>
    </r>
  </si>
  <si>
    <t>SOT-23</t>
  </si>
  <si>
    <t>JSCJ</t>
  </si>
  <si>
    <t>三极管</t>
  </si>
  <si>
    <r>
      <rPr>
        <sz val="10"/>
        <color rgb="FFFF0000"/>
        <rFont val="Arial"/>
        <charset val="0"/>
      </rPr>
      <t>20</t>
    </r>
    <r>
      <rPr>
        <sz val="10"/>
        <color rgb="FFFF0000"/>
        <rFont val="宋体"/>
        <charset val="0"/>
      </rPr>
      <t>只起拍不拆</t>
    </r>
  </si>
  <si>
    <t>JSCJ/SS8050 SOT-23</t>
  </si>
  <si>
    <t>SOP-16-300mil</t>
  </si>
  <si>
    <t>接口-I/O扩展器</t>
  </si>
  <si>
    <t>10kΩ ±5%</t>
  </si>
  <si>
    <t>4D03WGJ0103T5E 10K±5%</t>
  </si>
  <si>
    <t>CH340C （SMT编带）人工转编带</t>
  </si>
  <si>
    <t>WCH</t>
  </si>
  <si>
    <t>WCH/CH340C SOP-16</t>
  </si>
  <si>
    <t>LL-34</t>
  </si>
  <si>
    <t>ZMM5V1</t>
  </si>
  <si>
    <t>先科</t>
  </si>
  <si>
    <t>先科/ZMM5V1 LL-34 5.1V/0.5W</t>
  </si>
  <si>
    <t>卡座</t>
  </si>
  <si>
    <r>
      <rPr>
        <sz val="10"/>
        <color rgb="FFFF0000"/>
        <rFont val="宋体"/>
        <charset val="0"/>
      </rPr>
      <t>参考链接：</t>
    </r>
    <r>
      <rPr>
        <sz val="10"/>
        <color rgb="FFFF0000"/>
        <rFont val="Arial"/>
        <charset val="0"/>
      </rPr>
      <t>https://item.taobao.com/item.htm?id=719812309924&amp;spm=a1z10.3-c-s.w4002-24706531953.27.54d46a4bl9WDL5</t>
    </r>
  </si>
  <si>
    <t>22PF</t>
  </si>
  <si>
    <t>22pF ±5% 50V</t>
  </si>
  <si>
    <t>C1804</t>
  </si>
  <si>
    <t>SAMSUNG/0805贴片电容 50V 22PF ±5% COG CL21C220JBANNNC 50只</t>
  </si>
  <si>
    <t>SOP-8</t>
  </si>
  <si>
    <t>LM386M-1/TR</t>
  </si>
  <si>
    <t>运放</t>
  </si>
  <si>
    <t>LGA-14(3x5)</t>
  </si>
  <si>
    <t>ADI(亚德诺)</t>
  </si>
  <si>
    <t>ADI(亚德诺)/ADXL345BCCZ-RL7 VFLGA-14</t>
  </si>
  <si>
    <t>50pF ±5% 50V</t>
  </si>
  <si>
    <t>风华</t>
  </si>
  <si>
    <t>风华/0805贴片电容 50pF(500) ±5% 50V C0G 0805CG500J500NT</t>
  </si>
  <si>
    <t>10uF ±10% 25V</t>
  </si>
  <si>
    <t>SAMSUNG/0805贴片电容 25V 10UF ±10% X5R CL21A106KAYNNNE</t>
  </si>
  <si>
    <t>1kΩ ±1% 125mW 厚膜电阻</t>
  </si>
  <si>
    <t>0805W8F1001T5E 1K±1%</t>
  </si>
  <si>
    <t>10kΩ ±1% 125mW 厚膜电阻</t>
  </si>
  <si>
    <t>0805W8F1002T5E 10K±1%</t>
  </si>
  <si>
    <t>SOIC-8</t>
  </si>
  <si>
    <t>美信</t>
  </si>
  <si>
    <t>MAXIM/DS1307Z+T&amp;R SOIC-8</t>
  </si>
  <si>
    <t>SOT-23-6L</t>
  </si>
  <si>
    <t>TTP233H-HA6</t>
  </si>
  <si>
    <r>
      <rPr>
        <sz val="10"/>
        <rFont val="宋体"/>
        <charset val="0"/>
      </rPr>
      <t>红色</t>
    </r>
    <r>
      <rPr>
        <sz val="10"/>
        <rFont val="Arial"/>
        <charset val="0"/>
      </rPr>
      <t>LED</t>
    </r>
  </si>
  <si>
    <t>NCD0805R1</t>
  </si>
  <si>
    <t>LED</t>
  </si>
  <si>
    <r>
      <rPr>
        <sz val="10"/>
        <color rgb="FFFF0000"/>
        <rFont val="宋体"/>
        <charset val="0"/>
      </rPr>
      <t>国产中性</t>
    </r>
    <r>
      <rPr>
        <sz val="10"/>
        <color rgb="FFFF0000"/>
        <rFont val="Arial"/>
        <charset val="0"/>
      </rPr>
      <t xml:space="preserve"> 20</t>
    </r>
    <r>
      <rPr>
        <sz val="10"/>
        <color rgb="FFFF0000"/>
        <rFont val="宋体"/>
        <charset val="0"/>
      </rPr>
      <t>一件不拆</t>
    </r>
  </si>
  <si>
    <t>0805贴片LED 红色</t>
  </si>
  <si>
    <t>CASE-A-3216</t>
  </si>
  <si>
    <t>10uF ±10% 16V</t>
  </si>
  <si>
    <t>AVX</t>
  </si>
  <si>
    <t>TAJA106K016RNJ</t>
  </si>
</sst>
</file>

<file path=xl/styles.xml><?xml version="1.0" encoding="utf-8"?>
<styleSheet xmlns="http://schemas.openxmlformats.org/spreadsheetml/2006/main">
  <numFmts count="5">
    <numFmt numFmtId="176" formatCode="0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8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0"/>
      <name val="Arial"/>
      <charset val="0"/>
    </font>
    <font>
      <sz val="10"/>
      <name val="宋体"/>
      <charset val="0"/>
    </font>
    <font>
      <sz val="10"/>
      <color rgb="FFFF0000"/>
      <name val="Arial"/>
      <charset val="0"/>
    </font>
    <font>
      <sz val="10"/>
      <color rgb="FFFF0000"/>
      <name val="宋体"/>
      <charset val="0"/>
    </font>
    <font>
      <sz val="10.5"/>
      <name val="微软雅黑"/>
      <charset val="134"/>
    </font>
    <font>
      <sz val="8"/>
      <color rgb="FF000000"/>
      <name val="宋体"/>
      <charset val="134"/>
    </font>
    <font>
      <sz val="8"/>
      <color rgb="FF000000"/>
      <name val="Segoe UI"/>
      <charset val="134"/>
    </font>
    <font>
      <sz val="11"/>
      <color theme="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FFFFF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21" fillId="25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0" fillId="13" borderId="7" applyNumberFormat="0" applyFont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1" fillId="8" borderId="5" applyNumberFormat="0" applyAlignment="0" applyProtection="0">
      <alignment vertical="center"/>
    </xf>
    <xf numFmtId="0" fontId="27" fillId="37" borderId="11" applyNumberFormat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35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34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6" fillId="33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</cellStyleXfs>
  <cellXfs count="46">
    <xf numFmtId="0" fontId="0" fillId="0" borderId="0" xfId="0">
      <alignment vertical="center"/>
    </xf>
    <xf numFmtId="49" fontId="0" fillId="0" borderId="0" xfId="0" applyNumberFormat="1" applyFill="1" applyAlignment="1">
      <alignment horizontal="center" vertical="center"/>
    </xf>
    <xf numFmtId="49" fontId="0" fillId="0" borderId="0" xfId="0" applyNumberFormat="1" applyFill="1">
      <alignment vertical="center"/>
    </xf>
    <xf numFmtId="176" fontId="0" fillId="0" borderId="0" xfId="0" applyNumberFormat="1" applyFill="1">
      <alignment vertical="center"/>
    </xf>
    <xf numFmtId="49" fontId="1" fillId="0" borderId="0" xfId="0" applyNumberFormat="1" applyFont="1" applyFill="1">
      <alignment vertical="center"/>
    </xf>
    <xf numFmtId="0" fontId="0" fillId="0" borderId="0" xfId="0" applyNumberFormat="1" applyFill="1" applyAlignment="1">
      <alignment horizontal="center" vertical="center"/>
    </xf>
    <xf numFmtId="49" fontId="0" fillId="0" borderId="0" xfId="0" applyNumberFormat="1" applyFill="1" applyAlignment="1">
      <alignment vertical="center" wrapText="1"/>
    </xf>
    <xf numFmtId="49" fontId="0" fillId="0" borderId="1" xfId="0" applyNumberFormat="1" applyFill="1" applyBorder="1" applyAlignment="1">
      <alignment horizontal="center" vertical="center"/>
    </xf>
    <xf numFmtId="176" fontId="0" fillId="0" borderId="1" xfId="0" applyNumberFormat="1" applyFill="1" applyBorder="1" applyAlignment="1">
      <alignment horizontal="center" vertical="center"/>
    </xf>
    <xf numFmtId="0" fontId="2" fillId="0" borderId="1" xfId="0" applyNumberFormat="1" applyFont="1" applyFill="1" applyBorder="1" applyAlignment="1">
      <alignment horizontal="left"/>
    </xf>
    <xf numFmtId="0" fontId="0" fillId="0" borderId="1" xfId="0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/>
    </xf>
    <xf numFmtId="49" fontId="0" fillId="0" borderId="1" xfId="0" applyNumberFormat="1" applyFill="1" applyBorder="1">
      <alignment vertical="center"/>
    </xf>
    <xf numFmtId="0" fontId="2" fillId="0" borderId="1" xfId="0" applyNumberFormat="1" applyFont="1" applyFill="1" applyBorder="1" applyAlignment="1">
      <alignment horizontal="center"/>
    </xf>
    <xf numFmtId="0" fontId="2" fillId="2" borderId="1" xfId="0" applyNumberFormat="1" applyFont="1" applyFill="1" applyBorder="1" applyAlignment="1">
      <alignment horizontal="left"/>
    </xf>
    <xf numFmtId="0" fontId="3" fillId="2" borderId="1" xfId="0" applyNumberFormat="1" applyFont="1" applyFill="1" applyBorder="1" applyAlignment="1">
      <alignment horizontal="center"/>
    </xf>
    <xf numFmtId="0" fontId="3" fillId="0" borderId="1" xfId="0" applyNumberFormat="1" applyFont="1" applyFill="1" applyBorder="1" applyAlignment="1">
      <alignment horizontal="left"/>
    </xf>
    <xf numFmtId="49" fontId="1" fillId="0" borderId="1" xfId="0" applyNumberFormat="1" applyFont="1" applyFill="1" applyBorder="1" applyAlignment="1">
      <alignment horizontal="center" vertical="center"/>
    </xf>
    <xf numFmtId="0" fontId="0" fillId="0" borderId="1" xfId="0" applyNumberFormat="1" applyFill="1" applyBorder="1" applyAlignment="1">
      <alignment horizontal="center" vertical="center"/>
    </xf>
    <xf numFmtId="49" fontId="0" fillId="0" borderId="1" xfId="0" applyNumberFormat="1" applyFill="1" applyBorder="1" applyAlignment="1">
      <alignment horizontal="center" vertical="center" wrapText="1"/>
    </xf>
    <xf numFmtId="0" fontId="4" fillId="2" borderId="1" xfId="0" applyNumberFormat="1" applyFont="1" applyFill="1" applyBorder="1" applyAlignment="1">
      <alignment horizontal="left"/>
    </xf>
    <xf numFmtId="49" fontId="0" fillId="0" borderId="1" xfId="0" applyNumberFormat="1" applyFill="1" applyBorder="1" applyAlignment="1">
      <alignment vertical="center" wrapText="1"/>
    </xf>
    <xf numFmtId="0" fontId="5" fillId="2" borderId="1" xfId="0" applyNumberFormat="1" applyFont="1" applyFill="1" applyBorder="1" applyAlignment="1">
      <alignment horizontal="left"/>
    </xf>
    <xf numFmtId="0" fontId="5" fillId="2" borderId="1" xfId="0" applyNumberFormat="1" applyFont="1" applyFill="1" applyBorder="1" applyAlignment="1">
      <alignment horizontal="left" wrapText="1"/>
    </xf>
    <xf numFmtId="0" fontId="6" fillId="0" borderId="1" xfId="0" applyFont="1" applyBorder="1" applyAlignment="1">
      <alignment horizontal="left" vertical="center" wrapText="1" indent="1"/>
    </xf>
    <xf numFmtId="0" fontId="0" fillId="0" borderId="0" xfId="0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0" fillId="5" borderId="2" xfId="0" applyFill="1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2" fillId="2" borderId="2" xfId="0" applyNumberFormat="1" applyFont="1" applyFill="1" applyBorder="1" applyAlignment="1">
      <alignment horizontal="left" wrapText="1"/>
    </xf>
    <xf numFmtId="0" fontId="0" fillId="0" borderId="2" xfId="0" applyBorder="1" applyAlignment="1">
      <alignment vertical="center" wrapText="1"/>
    </xf>
    <xf numFmtId="0" fontId="2" fillId="2" borderId="2" xfId="0" applyNumberFormat="1" applyFont="1" applyFill="1" applyBorder="1" applyAlignment="1">
      <alignment horizontal="left" wrapText="1"/>
    </xf>
    <xf numFmtId="0" fontId="0" fillId="0" borderId="3" xfId="0" applyBorder="1" applyAlignment="1">
      <alignment vertical="center" wrapText="1"/>
    </xf>
    <xf numFmtId="0" fontId="2" fillId="2" borderId="3" xfId="0" applyNumberFormat="1" applyFont="1" applyFill="1" applyBorder="1" applyAlignment="1">
      <alignment horizontal="left" wrapText="1"/>
    </xf>
    <xf numFmtId="0" fontId="2" fillId="6" borderId="2" xfId="0" applyNumberFormat="1" applyFont="1" applyFill="1" applyBorder="1" applyAlignment="1">
      <alignment horizontal="left" wrapText="1"/>
    </xf>
    <xf numFmtId="0" fontId="0" fillId="5" borderId="2" xfId="0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2" fillId="2" borderId="2" xfId="0" applyNumberFormat="1" applyFont="1" applyFill="1" applyBorder="1" applyAlignment="1">
      <alignment horizontal="left" wrapText="1"/>
    </xf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2" fillId="2" borderId="2" xfId="0" applyNumberFormat="1" applyFont="1" applyFill="1" applyBorder="1" applyAlignment="1">
      <alignment horizontal="left" wrapText="1"/>
    </xf>
    <xf numFmtId="0" fontId="2" fillId="6" borderId="2" xfId="0" applyNumberFormat="1" applyFont="1" applyFill="1" applyBorder="1" applyAlignment="1">
      <alignment horizontal="left" wrapText="1"/>
    </xf>
    <xf numFmtId="0" fontId="2" fillId="6" borderId="3" xfId="0" applyNumberFormat="1" applyFont="1" applyFill="1" applyBorder="1" applyAlignment="1">
      <alignment horizontal="left" wrapText="1"/>
    </xf>
    <xf numFmtId="0" fontId="8" fillId="0" borderId="1" xfId="0" applyFont="1" applyBorder="1" applyAlignment="1" quotePrefix="1">
      <alignment vertical="center" wrapText="1"/>
    </xf>
    <xf numFmtId="0" fontId="7" fillId="0" borderId="1" xfId="0" applyFont="1" applyBorder="1" applyAlignment="1" quotePrefix="1">
      <alignment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item.szlcsc.com/160838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40"/>
  <sheetViews>
    <sheetView tabSelected="1" workbookViewId="0">
      <selection activeCell="M8" sqref="M8"/>
    </sheetView>
  </sheetViews>
  <sheetFormatPr defaultColWidth="8.88888888888889" defaultRowHeight="14.4"/>
  <cols>
    <col min="1" max="2" width="4.77777777777778" style="25" customWidth="1"/>
    <col min="3" max="3" width="8.88888888888889" style="25" customWidth="1"/>
    <col min="4" max="4" width="20.8888888888889" style="25" customWidth="1"/>
    <col min="5" max="5" width="21.4444444444444" style="25" customWidth="1"/>
    <col min="6" max="6" width="19.2222222222222" style="25" customWidth="1"/>
    <col min="7" max="7" width="5.22222222222222" style="25" customWidth="1"/>
    <col min="8" max="9" width="10.7777777777778" style="25" customWidth="1"/>
    <col min="10" max="10" width="8.88888888888889" style="25" customWidth="1"/>
    <col min="11" max="16382" width="8.88888888888889" style="25"/>
    <col min="16384" max="16384" width="8.88888888888889" style="25"/>
  </cols>
  <sheetData>
    <row r="1" ht="28.8" spans="1:10">
      <c r="A1" s="26" t="s">
        <v>0</v>
      </c>
      <c r="B1" s="27" t="s">
        <v>1</v>
      </c>
      <c r="C1" s="28" t="s">
        <v>2</v>
      </c>
      <c r="D1" s="28" t="s">
        <v>3</v>
      </c>
      <c r="E1" s="28" t="s">
        <v>4</v>
      </c>
      <c r="F1" s="28" t="s">
        <v>5</v>
      </c>
      <c r="G1" s="28" t="s">
        <v>6</v>
      </c>
      <c r="H1" s="29" t="s">
        <v>7</v>
      </c>
      <c r="I1" s="38"/>
      <c r="J1" s="39" t="s">
        <v>8</v>
      </c>
    </row>
    <row r="2" spans="1:10">
      <c r="A2" s="26">
        <v>1</v>
      </c>
      <c r="B2" s="27" t="s">
        <v>9</v>
      </c>
      <c r="C2" s="46" t="s">
        <v>10</v>
      </c>
      <c r="D2" s="46" t="s">
        <v>11</v>
      </c>
      <c r="E2" s="46" t="s">
        <v>12</v>
      </c>
      <c r="F2" s="46" t="s">
        <v>13</v>
      </c>
      <c r="G2" s="30">
        <v>1</v>
      </c>
      <c r="H2" s="32" t="s">
        <v>14</v>
      </c>
      <c r="I2" s="40"/>
      <c r="J2" s="39"/>
    </row>
    <row r="3" ht="22.8" spans="1:10">
      <c r="A3" s="26">
        <v>2</v>
      </c>
      <c r="B3" s="27" t="s">
        <v>9</v>
      </c>
      <c r="C3" s="46" t="s">
        <v>15</v>
      </c>
      <c r="D3" s="46" t="s">
        <v>16</v>
      </c>
      <c r="E3" s="46" t="s">
        <v>17</v>
      </c>
      <c r="F3" s="46" t="s">
        <v>18</v>
      </c>
      <c r="G3" s="30">
        <v>1</v>
      </c>
      <c r="H3" s="32" t="s">
        <v>19</v>
      </c>
      <c r="I3" s="40"/>
      <c r="J3" s="39"/>
    </row>
    <row r="4" ht="22.8" spans="1:10">
      <c r="A4" s="26">
        <v>3</v>
      </c>
      <c r="B4" s="27" t="s">
        <v>9</v>
      </c>
      <c r="C4" s="46" t="s">
        <v>20</v>
      </c>
      <c r="D4" s="47" t="s">
        <v>21</v>
      </c>
      <c r="E4" s="46" t="s">
        <v>22</v>
      </c>
      <c r="F4" s="46" t="s">
        <v>23</v>
      </c>
      <c r="G4" s="30">
        <v>1</v>
      </c>
      <c r="H4" s="32" t="s">
        <v>24</v>
      </c>
      <c r="I4" s="41"/>
      <c r="J4" s="39"/>
    </row>
    <row r="5" spans="1:10">
      <c r="A5" s="26">
        <v>4</v>
      </c>
      <c r="B5" s="27" t="s">
        <v>25</v>
      </c>
      <c r="C5" s="46" t="s">
        <v>26</v>
      </c>
      <c r="D5" s="46" t="s">
        <v>27</v>
      </c>
      <c r="E5" s="46" t="s">
        <v>28</v>
      </c>
      <c r="F5" s="46" t="s">
        <v>29</v>
      </c>
      <c r="G5" s="30">
        <v>1</v>
      </c>
      <c r="H5" s="32" t="s">
        <v>30</v>
      </c>
      <c r="I5" s="40"/>
      <c r="J5" s="39"/>
    </row>
    <row r="6" ht="22.8" spans="1:10">
      <c r="A6" s="26">
        <v>5</v>
      </c>
      <c r="B6" s="27" t="s">
        <v>25</v>
      </c>
      <c r="C6" s="46" t="s">
        <v>31</v>
      </c>
      <c r="D6" s="46" t="s">
        <v>32</v>
      </c>
      <c r="E6" s="46" t="s">
        <v>33</v>
      </c>
      <c r="F6" s="46" t="s">
        <v>34</v>
      </c>
      <c r="G6" s="30">
        <v>1</v>
      </c>
      <c r="H6" s="32" t="s">
        <v>35</v>
      </c>
      <c r="I6" s="40"/>
      <c r="J6" s="39"/>
    </row>
    <row r="7" ht="34.2" spans="1:10">
      <c r="A7" s="26">
        <v>6</v>
      </c>
      <c r="B7" s="27" t="s">
        <v>9</v>
      </c>
      <c r="C7" s="46" t="s">
        <v>36</v>
      </c>
      <c r="D7" s="46" t="s">
        <v>37</v>
      </c>
      <c r="E7" s="46" t="s">
        <v>38</v>
      </c>
      <c r="F7" s="46" t="s">
        <v>39</v>
      </c>
      <c r="G7" s="30">
        <v>1</v>
      </c>
      <c r="H7" s="32" t="s">
        <v>40</v>
      </c>
      <c r="I7" s="40"/>
      <c r="J7" s="39"/>
    </row>
    <row r="8" spans="1:10">
      <c r="A8" s="26">
        <v>7</v>
      </c>
      <c r="B8" s="27" t="s">
        <v>41</v>
      </c>
      <c r="C8" s="46" t="s">
        <v>42</v>
      </c>
      <c r="D8" s="47" t="s">
        <v>43</v>
      </c>
      <c r="E8" s="46" t="s">
        <v>44</v>
      </c>
      <c r="F8" s="46" t="s">
        <v>45</v>
      </c>
      <c r="G8" s="30">
        <v>1</v>
      </c>
      <c r="H8" s="34" t="s">
        <v>46</v>
      </c>
      <c r="I8" s="40"/>
      <c r="J8" s="39"/>
    </row>
    <row r="9" ht="34" customHeight="1" spans="1:10">
      <c r="A9" s="26">
        <v>9</v>
      </c>
      <c r="B9" s="27" t="s">
        <v>41</v>
      </c>
      <c r="C9" s="46" t="s">
        <v>47</v>
      </c>
      <c r="D9" s="47" t="s">
        <v>48</v>
      </c>
      <c r="E9" s="46" t="s">
        <v>49</v>
      </c>
      <c r="F9" s="46" t="s">
        <v>50</v>
      </c>
      <c r="G9" s="30">
        <v>17</v>
      </c>
      <c r="H9" s="34" t="s">
        <v>51</v>
      </c>
      <c r="I9" s="40"/>
      <c r="J9" s="39"/>
    </row>
    <row r="10" spans="1:10">
      <c r="A10" s="26">
        <v>10</v>
      </c>
      <c r="B10" s="27" t="s">
        <v>41</v>
      </c>
      <c r="C10" s="46" t="s">
        <v>52</v>
      </c>
      <c r="D10" s="47" t="s">
        <v>48</v>
      </c>
      <c r="E10" s="46" t="s">
        <v>53</v>
      </c>
      <c r="F10" s="46" t="s">
        <v>50</v>
      </c>
      <c r="G10" s="30">
        <v>3</v>
      </c>
      <c r="H10" s="34" t="s">
        <v>54</v>
      </c>
      <c r="I10" s="40"/>
      <c r="J10" s="39"/>
    </row>
    <row r="11" ht="22.8" spans="1:10">
      <c r="A11" s="26">
        <v>11</v>
      </c>
      <c r="B11" s="27" t="s">
        <v>55</v>
      </c>
      <c r="C11" s="46" t="s">
        <v>56</v>
      </c>
      <c r="D11" s="47" t="s">
        <v>57</v>
      </c>
      <c r="E11" s="46" t="s">
        <v>58</v>
      </c>
      <c r="F11" s="46" t="s">
        <v>59</v>
      </c>
      <c r="G11" s="30">
        <v>12</v>
      </c>
      <c r="H11" s="32" t="s">
        <v>60</v>
      </c>
      <c r="I11" s="40"/>
      <c r="J11" s="39"/>
    </row>
    <row r="12" ht="34.2" spans="1:10">
      <c r="A12" s="26">
        <v>12</v>
      </c>
      <c r="B12" s="27" t="s">
        <v>55</v>
      </c>
      <c r="C12" s="46" t="s">
        <v>61</v>
      </c>
      <c r="D12" s="47" t="s">
        <v>57</v>
      </c>
      <c r="E12" s="46" t="s">
        <v>62</v>
      </c>
      <c r="F12" s="46" t="s">
        <v>59</v>
      </c>
      <c r="G12" s="30">
        <v>16</v>
      </c>
      <c r="H12" s="32" t="s">
        <v>63</v>
      </c>
      <c r="I12" s="40"/>
      <c r="J12" s="39"/>
    </row>
    <row r="13" spans="1:10">
      <c r="A13" s="26">
        <v>13</v>
      </c>
      <c r="B13" s="27" t="s">
        <v>55</v>
      </c>
      <c r="C13" s="46" t="s">
        <v>64</v>
      </c>
      <c r="D13" s="47" t="s">
        <v>57</v>
      </c>
      <c r="E13" s="46" t="s">
        <v>65</v>
      </c>
      <c r="F13" s="46" t="s">
        <v>59</v>
      </c>
      <c r="G13" s="30">
        <v>1</v>
      </c>
      <c r="H13" s="33"/>
      <c r="I13" s="41"/>
      <c r="J13" s="39"/>
    </row>
    <row r="14" spans="1:10">
      <c r="A14" s="26">
        <v>14</v>
      </c>
      <c r="B14" s="27" t="s">
        <v>55</v>
      </c>
      <c r="C14" s="46" t="s">
        <v>66</v>
      </c>
      <c r="D14" s="47" t="s">
        <v>67</v>
      </c>
      <c r="E14" s="46" t="s">
        <v>68</v>
      </c>
      <c r="F14" s="46" t="s">
        <v>69</v>
      </c>
      <c r="G14" s="30">
        <v>3</v>
      </c>
      <c r="H14" s="32" t="s">
        <v>70</v>
      </c>
      <c r="I14" s="40"/>
      <c r="J14" s="39"/>
    </row>
    <row r="15" spans="1:10">
      <c r="A15" s="26">
        <v>15</v>
      </c>
      <c r="B15" s="27" t="s">
        <v>55</v>
      </c>
      <c r="C15" s="46" t="s">
        <v>71</v>
      </c>
      <c r="D15" s="47" t="s">
        <v>67</v>
      </c>
      <c r="E15" s="46" t="s">
        <v>72</v>
      </c>
      <c r="F15" s="46" t="s">
        <v>69</v>
      </c>
      <c r="G15" s="30">
        <v>1</v>
      </c>
      <c r="H15" s="32" t="s">
        <v>73</v>
      </c>
      <c r="I15" s="40"/>
      <c r="J15" s="39"/>
    </row>
    <row r="16" spans="1:10">
      <c r="A16" s="26">
        <v>16</v>
      </c>
      <c r="B16" s="27" t="s">
        <v>41</v>
      </c>
      <c r="C16" s="46" t="s">
        <v>74</v>
      </c>
      <c r="D16" s="47" t="s">
        <v>75</v>
      </c>
      <c r="E16" s="46" t="s">
        <v>76</v>
      </c>
      <c r="F16" s="46" t="s">
        <v>77</v>
      </c>
      <c r="G16" s="30">
        <v>1</v>
      </c>
      <c r="H16" s="32" t="s">
        <v>78</v>
      </c>
      <c r="I16" s="40"/>
      <c r="J16" s="39"/>
    </row>
    <row r="17" ht="34.2" spans="1:10">
      <c r="A17" s="26">
        <v>17</v>
      </c>
      <c r="B17" s="27" t="s">
        <v>79</v>
      </c>
      <c r="C17" s="46" t="s">
        <v>80</v>
      </c>
      <c r="D17" s="46" t="s">
        <v>81</v>
      </c>
      <c r="E17" s="46" t="s">
        <v>82</v>
      </c>
      <c r="F17" s="46" t="s">
        <v>83</v>
      </c>
      <c r="G17" s="30">
        <v>2</v>
      </c>
      <c r="H17" s="32" t="s">
        <v>84</v>
      </c>
      <c r="I17" s="40"/>
      <c r="J17" s="39"/>
    </row>
    <row r="18" ht="34.2" spans="1:10">
      <c r="A18" s="26">
        <v>17</v>
      </c>
      <c r="B18" s="27" t="s">
        <v>79</v>
      </c>
      <c r="C18" s="46" t="s">
        <v>85</v>
      </c>
      <c r="D18" s="46" t="s">
        <v>81</v>
      </c>
      <c r="E18" s="46" t="s">
        <v>86</v>
      </c>
      <c r="F18" s="46" t="s">
        <v>83</v>
      </c>
      <c r="G18" s="30">
        <v>1</v>
      </c>
      <c r="H18" s="32" t="s">
        <v>84</v>
      </c>
      <c r="I18" s="40"/>
      <c r="J18" s="39"/>
    </row>
    <row r="19" ht="34.2" spans="1:10">
      <c r="A19" s="26">
        <v>17</v>
      </c>
      <c r="B19" s="27" t="s">
        <v>79</v>
      </c>
      <c r="C19" s="46" t="s">
        <v>87</v>
      </c>
      <c r="D19" s="46" t="s">
        <v>81</v>
      </c>
      <c r="E19" s="46" t="s">
        <v>88</v>
      </c>
      <c r="F19" s="46" t="s">
        <v>83</v>
      </c>
      <c r="G19" s="30">
        <v>1</v>
      </c>
      <c r="H19" s="32" t="s">
        <v>84</v>
      </c>
      <c r="I19" s="40"/>
      <c r="J19" s="39"/>
    </row>
    <row r="20" ht="34.2" spans="1:10">
      <c r="A20" s="26">
        <v>17</v>
      </c>
      <c r="B20" s="27" t="s">
        <v>79</v>
      </c>
      <c r="C20" s="46" t="s">
        <v>89</v>
      </c>
      <c r="D20" s="46" t="s">
        <v>81</v>
      </c>
      <c r="E20" s="46" t="s">
        <v>90</v>
      </c>
      <c r="F20" s="46" t="s">
        <v>83</v>
      </c>
      <c r="G20" s="30">
        <v>1</v>
      </c>
      <c r="H20" s="32" t="s">
        <v>84</v>
      </c>
      <c r="I20" s="40"/>
      <c r="J20" s="39"/>
    </row>
    <row r="21" ht="34.2" spans="1:10">
      <c r="A21" s="26">
        <v>17</v>
      </c>
      <c r="B21" s="27" t="s">
        <v>79</v>
      </c>
      <c r="C21" s="46" t="s">
        <v>91</v>
      </c>
      <c r="D21" s="46" t="s">
        <v>81</v>
      </c>
      <c r="E21" s="46" t="s">
        <v>92</v>
      </c>
      <c r="F21" s="46" t="s">
        <v>83</v>
      </c>
      <c r="G21" s="30">
        <v>1</v>
      </c>
      <c r="H21" s="32" t="s">
        <v>84</v>
      </c>
      <c r="I21" s="40"/>
      <c r="J21" s="39"/>
    </row>
    <row r="22" ht="34.2" spans="1:10">
      <c r="A22" s="26">
        <v>17</v>
      </c>
      <c r="B22" s="27" t="s">
        <v>79</v>
      </c>
      <c r="C22" s="46" t="s">
        <v>93</v>
      </c>
      <c r="D22" s="46" t="s">
        <v>81</v>
      </c>
      <c r="E22" s="46" t="s">
        <v>94</v>
      </c>
      <c r="F22" s="46" t="s">
        <v>83</v>
      </c>
      <c r="G22" s="30">
        <v>1</v>
      </c>
      <c r="H22" s="32" t="s">
        <v>84</v>
      </c>
      <c r="I22" s="40"/>
      <c r="J22" s="39"/>
    </row>
    <row r="23" ht="34.2" spans="1:10">
      <c r="A23" s="26">
        <v>17</v>
      </c>
      <c r="B23" s="27" t="s">
        <v>79</v>
      </c>
      <c r="C23" s="46" t="s">
        <v>95</v>
      </c>
      <c r="D23" s="46" t="s">
        <v>81</v>
      </c>
      <c r="E23" s="46" t="s">
        <v>96</v>
      </c>
      <c r="F23" s="46" t="s">
        <v>83</v>
      </c>
      <c r="G23" s="30">
        <v>1</v>
      </c>
      <c r="H23" s="32" t="s">
        <v>84</v>
      </c>
      <c r="I23" s="40"/>
      <c r="J23" s="39"/>
    </row>
    <row r="24" ht="34.2" spans="1:10">
      <c r="A24" s="26">
        <v>17</v>
      </c>
      <c r="B24" s="27" t="s">
        <v>79</v>
      </c>
      <c r="C24" s="46" t="s">
        <v>97</v>
      </c>
      <c r="D24" s="46" t="s">
        <v>81</v>
      </c>
      <c r="E24" s="46" t="s">
        <v>98</v>
      </c>
      <c r="F24" s="46" t="s">
        <v>83</v>
      </c>
      <c r="G24" s="30">
        <v>1</v>
      </c>
      <c r="H24" s="32" t="s">
        <v>84</v>
      </c>
      <c r="I24" s="40"/>
      <c r="J24" s="39"/>
    </row>
    <row r="25" spans="1:10">
      <c r="A25" s="26">
        <v>18</v>
      </c>
      <c r="B25" s="27" t="s">
        <v>55</v>
      </c>
      <c r="C25" s="46" t="s">
        <v>61</v>
      </c>
      <c r="D25" s="47" t="s">
        <v>99</v>
      </c>
      <c r="E25" s="46" t="s">
        <v>100</v>
      </c>
      <c r="F25" s="46" t="s">
        <v>101</v>
      </c>
      <c r="G25" s="30">
        <v>2</v>
      </c>
      <c r="H25" s="36" t="s">
        <v>102</v>
      </c>
      <c r="I25" s="42"/>
      <c r="J25" s="39"/>
    </row>
    <row r="26" ht="24" customHeight="1" spans="1:10">
      <c r="A26" s="26">
        <v>19</v>
      </c>
      <c r="B26" s="27" t="s">
        <v>79</v>
      </c>
      <c r="C26" s="46" t="s">
        <v>103</v>
      </c>
      <c r="D26" s="46" t="s">
        <v>104</v>
      </c>
      <c r="E26" s="46" t="s">
        <v>105</v>
      </c>
      <c r="F26" s="46" t="s">
        <v>106</v>
      </c>
      <c r="G26" s="30">
        <v>1</v>
      </c>
      <c r="H26" s="36" t="s">
        <v>107</v>
      </c>
      <c r="I26" s="42"/>
      <c r="J26" s="39"/>
    </row>
    <row r="27" spans="1:10">
      <c r="A27" s="26">
        <v>20</v>
      </c>
      <c r="B27" s="27" t="s">
        <v>41</v>
      </c>
      <c r="C27" s="46" t="s">
        <v>108</v>
      </c>
      <c r="D27" s="47" t="s">
        <v>48</v>
      </c>
      <c r="E27" s="46" t="s">
        <v>109</v>
      </c>
      <c r="F27" s="46" t="s">
        <v>50</v>
      </c>
      <c r="G27" s="30">
        <v>1</v>
      </c>
      <c r="H27" s="32" t="s">
        <v>110</v>
      </c>
      <c r="I27" s="40"/>
      <c r="J27" s="39"/>
    </row>
    <row r="28" spans="1:10">
      <c r="A28" s="26">
        <v>21</v>
      </c>
      <c r="B28" s="27" t="s">
        <v>79</v>
      </c>
      <c r="C28" s="46" t="s">
        <v>111</v>
      </c>
      <c r="D28" s="47" t="s">
        <v>112</v>
      </c>
      <c r="E28" s="46" t="s">
        <v>113</v>
      </c>
      <c r="F28" s="46" t="s">
        <v>114</v>
      </c>
      <c r="G28" s="30">
        <v>1</v>
      </c>
      <c r="H28" s="32" t="s">
        <v>115</v>
      </c>
      <c r="I28" s="40"/>
      <c r="J28" s="39"/>
    </row>
    <row r="29" ht="22.8" spans="1:10">
      <c r="A29" s="26">
        <v>22</v>
      </c>
      <c r="B29" s="27" t="s">
        <v>79</v>
      </c>
      <c r="C29" s="46" t="s">
        <v>116</v>
      </c>
      <c r="D29" s="47" t="s">
        <v>117</v>
      </c>
      <c r="E29" s="46" t="s">
        <v>118</v>
      </c>
      <c r="F29" s="46" t="s">
        <v>119</v>
      </c>
      <c r="G29" s="30">
        <v>1</v>
      </c>
      <c r="H29" s="32" t="s">
        <v>120</v>
      </c>
      <c r="I29" s="40"/>
      <c r="J29" s="39"/>
    </row>
    <row r="30" spans="1:10">
      <c r="A30" s="26">
        <v>23</v>
      </c>
      <c r="B30" s="27" t="s">
        <v>25</v>
      </c>
      <c r="C30" s="46" t="s">
        <v>121</v>
      </c>
      <c r="D30" s="46" t="s">
        <v>122</v>
      </c>
      <c r="E30" s="46" t="s">
        <v>123</v>
      </c>
      <c r="F30" s="46" t="s">
        <v>124</v>
      </c>
      <c r="G30" s="30">
        <v>1</v>
      </c>
      <c r="H30" s="32" t="s">
        <v>125</v>
      </c>
      <c r="I30" s="40"/>
      <c r="J30" s="39"/>
    </row>
    <row r="31" spans="1:10">
      <c r="A31" s="26">
        <v>24</v>
      </c>
      <c r="B31" s="27" t="s">
        <v>9</v>
      </c>
      <c r="C31" s="46" t="s">
        <v>126</v>
      </c>
      <c r="D31" s="47" t="s">
        <v>127</v>
      </c>
      <c r="E31" s="46" t="s">
        <v>128</v>
      </c>
      <c r="F31" s="46" t="s">
        <v>129</v>
      </c>
      <c r="G31" s="30">
        <v>1</v>
      </c>
      <c r="H31" s="32" t="s">
        <v>130</v>
      </c>
      <c r="I31" s="40"/>
      <c r="J31" s="39"/>
    </row>
    <row r="32" spans="1:10">
      <c r="A32" s="26">
        <v>25</v>
      </c>
      <c r="B32" s="27" t="s">
        <v>9</v>
      </c>
      <c r="C32" s="46" t="s">
        <v>131</v>
      </c>
      <c r="D32" s="46" t="s">
        <v>11</v>
      </c>
      <c r="E32" s="46" t="s">
        <v>132</v>
      </c>
      <c r="F32" s="46" t="s">
        <v>133</v>
      </c>
      <c r="G32" s="30">
        <v>1</v>
      </c>
      <c r="H32" s="32" t="s">
        <v>134</v>
      </c>
      <c r="I32" s="40"/>
      <c r="J32" s="39"/>
    </row>
    <row r="33" ht="34.2" spans="1:10">
      <c r="A33" s="26">
        <v>26</v>
      </c>
      <c r="B33" s="27" t="s">
        <v>79</v>
      </c>
      <c r="C33" s="46" t="s">
        <v>97</v>
      </c>
      <c r="D33" s="46" t="s">
        <v>81</v>
      </c>
      <c r="E33" s="30" t="s">
        <v>135</v>
      </c>
      <c r="F33" s="46" t="s">
        <v>136</v>
      </c>
      <c r="G33" s="30">
        <v>1</v>
      </c>
      <c r="H33" s="33"/>
      <c r="I33" s="40"/>
      <c r="J33" s="39"/>
    </row>
    <row r="34" ht="36" customHeight="1" spans="1:10">
      <c r="A34" s="26">
        <v>27</v>
      </c>
      <c r="B34" s="27" t="s">
        <v>9</v>
      </c>
      <c r="C34" s="46" t="s">
        <v>137</v>
      </c>
      <c r="D34" s="46" t="s">
        <v>138</v>
      </c>
      <c r="E34" s="46" t="s">
        <v>139</v>
      </c>
      <c r="F34" s="46" t="s">
        <v>140</v>
      </c>
      <c r="G34" s="30">
        <v>1</v>
      </c>
      <c r="H34" s="32" t="s">
        <v>141</v>
      </c>
      <c r="I34" s="40"/>
      <c r="J34" s="39"/>
    </row>
    <row r="35" ht="22.8" spans="1:10">
      <c r="A35" s="26">
        <v>28</v>
      </c>
      <c r="B35" s="27" t="s">
        <v>9</v>
      </c>
      <c r="C35" s="46" t="s">
        <v>142</v>
      </c>
      <c r="D35" s="46" t="s">
        <v>143</v>
      </c>
      <c r="E35" s="46" t="s">
        <v>144</v>
      </c>
      <c r="F35" s="46" t="s">
        <v>145</v>
      </c>
      <c r="G35" s="30">
        <v>1</v>
      </c>
      <c r="H35" s="32" t="s">
        <v>146</v>
      </c>
      <c r="I35" s="40"/>
      <c r="J35" s="39"/>
    </row>
    <row r="36" spans="1:10">
      <c r="A36" s="26">
        <v>30</v>
      </c>
      <c r="B36" s="27" t="s">
        <v>9</v>
      </c>
      <c r="C36" s="46" t="s">
        <v>147</v>
      </c>
      <c r="D36" s="46" t="s">
        <v>11</v>
      </c>
      <c r="E36" s="46" t="s">
        <v>148</v>
      </c>
      <c r="F36" s="46" t="s">
        <v>149</v>
      </c>
      <c r="G36" s="30">
        <v>1</v>
      </c>
      <c r="H36" s="45" t="s">
        <v>150</v>
      </c>
      <c r="I36" s="43"/>
      <c r="J36" s="39"/>
    </row>
    <row r="37" ht="45.6" spans="1:10">
      <c r="A37" s="26">
        <v>31</v>
      </c>
      <c r="B37" s="27" t="s">
        <v>151</v>
      </c>
      <c r="C37" s="46" t="s">
        <v>152</v>
      </c>
      <c r="D37" s="46" t="s">
        <v>153</v>
      </c>
      <c r="E37" s="46" t="s">
        <v>154</v>
      </c>
      <c r="F37" s="46" t="s">
        <v>155</v>
      </c>
      <c r="G37" s="30">
        <v>1</v>
      </c>
      <c r="H37" s="33" t="s">
        <v>156</v>
      </c>
      <c r="I37" s="40"/>
      <c r="J37" s="39"/>
    </row>
    <row r="38" spans="1:10">
      <c r="A38" s="26">
        <v>32</v>
      </c>
      <c r="B38" s="27" t="s">
        <v>151</v>
      </c>
      <c r="C38" s="46" t="s">
        <v>157</v>
      </c>
      <c r="D38" s="46" t="s">
        <v>158</v>
      </c>
      <c r="E38" s="46" t="s">
        <v>159</v>
      </c>
      <c r="F38" s="46" t="s">
        <v>160</v>
      </c>
      <c r="G38" s="30">
        <v>1</v>
      </c>
      <c r="H38" s="33"/>
      <c r="I38" s="44"/>
      <c r="J38" s="39"/>
    </row>
    <row r="39" spans="1:10">
      <c r="A39" s="26">
        <v>33</v>
      </c>
      <c r="B39" s="27" t="s">
        <v>79</v>
      </c>
      <c r="C39" s="46" t="s">
        <v>161</v>
      </c>
      <c r="D39" s="47" t="s">
        <v>162</v>
      </c>
      <c r="E39" s="46" t="s">
        <v>163</v>
      </c>
      <c r="F39" s="46" t="s">
        <v>106</v>
      </c>
      <c r="G39" s="30">
        <v>1</v>
      </c>
      <c r="H39" s="33"/>
      <c r="I39" s="41"/>
      <c r="J39" s="39"/>
    </row>
    <row r="40" spans="1:10">
      <c r="A40" s="26"/>
      <c r="B40" s="27" t="s">
        <v>41</v>
      </c>
      <c r="C40" s="46" t="s">
        <v>164</v>
      </c>
      <c r="D40" s="47" t="s">
        <v>48</v>
      </c>
      <c r="E40" s="46" t="s">
        <v>165</v>
      </c>
      <c r="F40" s="46" t="s">
        <v>50</v>
      </c>
      <c r="G40" s="30">
        <v>1</v>
      </c>
      <c r="H40" s="33"/>
      <c r="I40" s="41"/>
      <c r="J40" s="39"/>
    </row>
  </sheetData>
  <sortState ref="A2:H40">
    <sortCondition ref="A2"/>
  </sortState>
  <pageMargins left="0.357638888888889" right="0.357638888888889" top="0.432638888888889" bottom="0.432638888888889" header="0.511805555555556" footer="0.511805555555556"/>
  <pageSetup paperSize="9" scale="84" orientation="portrait" horizontalDpi="6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XFC40"/>
  <sheetViews>
    <sheetView workbookViewId="0">
      <selection activeCell="L2" sqref="L2"/>
    </sheetView>
  </sheetViews>
  <sheetFormatPr defaultColWidth="8.88888888888889" defaultRowHeight="14.4"/>
  <cols>
    <col min="1" max="2" width="4.77777777777778" style="25" customWidth="1"/>
    <col min="3" max="3" width="8.88888888888889" style="25" customWidth="1"/>
    <col min="4" max="4" width="20.8888888888889" style="25" customWidth="1"/>
    <col min="5" max="5" width="21.4444444444444" style="25" customWidth="1"/>
    <col min="6" max="6" width="19.2222222222222" style="25" customWidth="1"/>
    <col min="7" max="7" width="5.22222222222222" style="25" customWidth="1"/>
    <col min="8" max="9" width="10.7777777777778" style="25" customWidth="1"/>
    <col min="10" max="10" width="8.88888888888889" style="25" customWidth="1"/>
    <col min="11" max="16382" width="8.88888888888889" style="25"/>
    <col min="16384" max="16384" width="8.88888888888889" style="25"/>
  </cols>
  <sheetData>
    <row r="1" s="25" customFormat="1" ht="28.8" spans="1:16383">
      <c r="A1" s="26" t="s">
        <v>0</v>
      </c>
      <c r="B1" s="27" t="s">
        <v>1</v>
      </c>
      <c r="C1" s="28" t="s">
        <v>2</v>
      </c>
      <c r="D1" s="28" t="s">
        <v>3</v>
      </c>
      <c r="E1" s="28" t="s">
        <v>4</v>
      </c>
      <c r="F1" s="28" t="s">
        <v>5</v>
      </c>
      <c r="G1" s="28" t="s">
        <v>6</v>
      </c>
      <c r="H1" s="29" t="s">
        <v>7</v>
      </c>
      <c r="I1" s="38"/>
      <c r="J1" s="39" t="s">
        <v>8</v>
      </c>
      <c r="XFC1"/>
    </row>
    <row r="2" s="25" customFormat="1" ht="22.8" spans="1:16383">
      <c r="A2" s="26">
        <v>11</v>
      </c>
      <c r="B2" s="27" t="s">
        <v>55</v>
      </c>
      <c r="C2" s="46" t="s">
        <v>56</v>
      </c>
      <c r="D2" s="47" t="s">
        <v>57</v>
      </c>
      <c r="E2" s="46" t="s">
        <v>58</v>
      </c>
      <c r="F2" s="46" t="s">
        <v>59</v>
      </c>
      <c r="G2" s="30">
        <v>12</v>
      </c>
      <c r="H2" s="32" t="s">
        <v>60</v>
      </c>
      <c r="I2" s="40"/>
      <c r="J2" s="39"/>
      <c r="XFC2"/>
    </row>
    <row r="3" s="25" customFormat="1" ht="34.2" spans="1:16383">
      <c r="A3" s="26">
        <v>12</v>
      </c>
      <c r="B3" s="27" t="s">
        <v>55</v>
      </c>
      <c r="C3" s="46" t="s">
        <v>61</v>
      </c>
      <c r="D3" s="47" t="s">
        <v>57</v>
      </c>
      <c r="E3" s="46" t="s">
        <v>62</v>
      </c>
      <c r="F3" s="46" t="s">
        <v>59</v>
      </c>
      <c r="G3" s="30">
        <v>16</v>
      </c>
      <c r="H3" s="32" t="s">
        <v>63</v>
      </c>
      <c r="I3" s="40"/>
      <c r="J3" s="39"/>
      <c r="XFC3"/>
    </row>
    <row r="4" s="25" customFormat="1" spans="1:16383">
      <c r="A4" s="26">
        <v>13</v>
      </c>
      <c r="B4" s="27" t="s">
        <v>55</v>
      </c>
      <c r="C4" s="46" t="s">
        <v>64</v>
      </c>
      <c r="D4" s="47" t="s">
        <v>57</v>
      </c>
      <c r="E4" s="46" t="s">
        <v>65</v>
      </c>
      <c r="F4" s="46" t="s">
        <v>59</v>
      </c>
      <c r="G4" s="30">
        <v>1</v>
      </c>
      <c r="H4" s="33"/>
      <c r="I4" s="41"/>
      <c r="J4" s="39"/>
      <c r="XFC4"/>
    </row>
    <row r="5" s="25" customFormat="1" spans="1:16383">
      <c r="A5" s="26">
        <v>14</v>
      </c>
      <c r="B5" s="27" t="s">
        <v>55</v>
      </c>
      <c r="C5" s="46" t="s">
        <v>66</v>
      </c>
      <c r="D5" s="47" t="s">
        <v>67</v>
      </c>
      <c r="E5" s="46" t="s">
        <v>68</v>
      </c>
      <c r="F5" s="46" t="s">
        <v>69</v>
      </c>
      <c r="G5" s="30">
        <v>3</v>
      </c>
      <c r="H5" s="32" t="s">
        <v>70</v>
      </c>
      <c r="I5" s="40"/>
      <c r="J5" s="39"/>
      <c r="XFC5"/>
    </row>
    <row r="6" s="25" customFormat="1" spans="1:16383">
      <c r="A6" s="26">
        <v>15</v>
      </c>
      <c r="B6" s="27" t="s">
        <v>55</v>
      </c>
      <c r="C6" s="46" t="s">
        <v>71</v>
      </c>
      <c r="D6" s="47" t="s">
        <v>67</v>
      </c>
      <c r="E6" s="46" t="s">
        <v>72</v>
      </c>
      <c r="F6" s="46" t="s">
        <v>69</v>
      </c>
      <c r="G6" s="30">
        <v>1</v>
      </c>
      <c r="H6" s="32" t="s">
        <v>73</v>
      </c>
      <c r="I6" s="40"/>
      <c r="J6" s="39"/>
      <c r="XFC6"/>
    </row>
    <row r="7" s="25" customFormat="1" spans="1:16383">
      <c r="A7" s="26">
        <v>18</v>
      </c>
      <c r="B7" s="27" t="s">
        <v>55</v>
      </c>
      <c r="C7" s="46" t="s">
        <v>61</v>
      </c>
      <c r="D7" s="47" t="s">
        <v>99</v>
      </c>
      <c r="E7" s="46" t="s">
        <v>100</v>
      </c>
      <c r="F7" s="46" t="s">
        <v>101</v>
      </c>
      <c r="G7" s="30">
        <v>2</v>
      </c>
      <c r="H7" s="32" t="s">
        <v>102</v>
      </c>
      <c r="I7" s="40"/>
      <c r="J7" s="39"/>
      <c r="XFC7"/>
    </row>
    <row r="8" s="25" customFormat="1" spans="1:16383">
      <c r="A8" s="26">
        <v>7</v>
      </c>
      <c r="B8" s="27" t="s">
        <v>41</v>
      </c>
      <c r="C8" s="46" t="s">
        <v>42</v>
      </c>
      <c r="D8" s="47" t="s">
        <v>43</v>
      </c>
      <c r="E8" s="46" t="s">
        <v>44</v>
      </c>
      <c r="F8" s="46" t="s">
        <v>45</v>
      </c>
      <c r="G8" s="30">
        <v>1</v>
      </c>
      <c r="H8" s="34" t="s">
        <v>46</v>
      </c>
      <c r="I8" s="40"/>
      <c r="J8" s="39"/>
      <c r="XFC8"/>
    </row>
    <row r="9" s="25" customFormat="1" ht="34" customHeight="1" spans="1:16383">
      <c r="A9" s="26">
        <v>9</v>
      </c>
      <c r="B9" s="27" t="s">
        <v>41</v>
      </c>
      <c r="C9" s="46" t="s">
        <v>47</v>
      </c>
      <c r="D9" s="47" t="s">
        <v>48</v>
      </c>
      <c r="E9" s="46" t="s">
        <v>49</v>
      </c>
      <c r="F9" s="46" t="s">
        <v>50</v>
      </c>
      <c r="G9" s="30">
        <v>17</v>
      </c>
      <c r="H9" s="34" t="s">
        <v>51</v>
      </c>
      <c r="I9" s="40"/>
      <c r="J9" s="39"/>
      <c r="XFC9"/>
    </row>
    <row r="10" s="25" customFormat="1" spans="1:16383">
      <c r="A10" s="26">
        <v>10</v>
      </c>
      <c r="B10" s="27" t="s">
        <v>41</v>
      </c>
      <c r="C10" s="46" t="s">
        <v>52</v>
      </c>
      <c r="D10" s="47" t="s">
        <v>48</v>
      </c>
      <c r="E10" s="46" t="s">
        <v>53</v>
      </c>
      <c r="F10" s="46" t="s">
        <v>50</v>
      </c>
      <c r="G10" s="30">
        <v>3</v>
      </c>
      <c r="H10" s="34" t="s">
        <v>54</v>
      </c>
      <c r="I10" s="40"/>
      <c r="J10" s="39"/>
      <c r="XFC10"/>
    </row>
    <row r="11" s="25" customFormat="1" spans="1:16383">
      <c r="A11" s="26">
        <v>16</v>
      </c>
      <c r="B11" s="27" t="s">
        <v>41</v>
      </c>
      <c r="C11" s="46" t="s">
        <v>74</v>
      </c>
      <c r="D11" s="47" t="s">
        <v>75</v>
      </c>
      <c r="E11" s="46" t="s">
        <v>76</v>
      </c>
      <c r="F11" s="46" t="s">
        <v>77</v>
      </c>
      <c r="G11" s="30">
        <v>1</v>
      </c>
      <c r="H11" s="32" t="s">
        <v>78</v>
      </c>
      <c r="I11" s="40"/>
      <c r="J11" s="39"/>
      <c r="XFC11"/>
    </row>
    <row r="12" s="25" customFormat="1" spans="1:16383">
      <c r="A12" s="26">
        <v>20</v>
      </c>
      <c r="B12" s="27" t="s">
        <v>41</v>
      </c>
      <c r="C12" s="46" t="s">
        <v>108</v>
      </c>
      <c r="D12" s="47" t="s">
        <v>48</v>
      </c>
      <c r="E12" s="46" t="s">
        <v>109</v>
      </c>
      <c r="F12" s="46" t="s">
        <v>50</v>
      </c>
      <c r="G12" s="30">
        <v>1</v>
      </c>
      <c r="H12" s="32" t="s">
        <v>110</v>
      </c>
      <c r="I12" s="40"/>
      <c r="J12" s="39"/>
      <c r="XFC12"/>
    </row>
    <row r="13" s="25" customFormat="1" spans="1:16383">
      <c r="A13" s="26"/>
      <c r="B13" s="27" t="s">
        <v>41</v>
      </c>
      <c r="C13" s="46" t="s">
        <v>164</v>
      </c>
      <c r="D13" s="47" t="s">
        <v>48</v>
      </c>
      <c r="E13" s="46" t="s">
        <v>165</v>
      </c>
      <c r="F13" s="46" t="s">
        <v>50</v>
      </c>
      <c r="G13" s="30">
        <v>1</v>
      </c>
      <c r="H13" s="33"/>
      <c r="I13" s="41"/>
      <c r="J13" s="39"/>
      <c r="XFC13"/>
    </row>
    <row r="14" s="25" customFormat="1" ht="34.2" spans="1:16383">
      <c r="A14" s="26">
        <v>17</v>
      </c>
      <c r="B14" s="27" t="s">
        <v>79</v>
      </c>
      <c r="C14" s="46" t="s">
        <v>80</v>
      </c>
      <c r="D14" s="46" t="s">
        <v>81</v>
      </c>
      <c r="E14" s="46" t="s">
        <v>82</v>
      </c>
      <c r="F14" s="46" t="s">
        <v>83</v>
      </c>
      <c r="G14" s="30">
        <v>2</v>
      </c>
      <c r="H14" s="32" t="s">
        <v>84</v>
      </c>
      <c r="I14" s="40"/>
      <c r="J14" s="39"/>
      <c r="XFC14"/>
    </row>
    <row r="15" s="25" customFormat="1" ht="34.2" spans="1:16383">
      <c r="A15" s="26">
        <v>17</v>
      </c>
      <c r="B15" s="27" t="s">
        <v>79</v>
      </c>
      <c r="C15" s="46" t="s">
        <v>85</v>
      </c>
      <c r="D15" s="46" t="s">
        <v>81</v>
      </c>
      <c r="E15" s="46" t="s">
        <v>86</v>
      </c>
      <c r="F15" s="46" t="s">
        <v>83</v>
      </c>
      <c r="G15" s="30">
        <v>1</v>
      </c>
      <c r="H15" s="32" t="s">
        <v>84</v>
      </c>
      <c r="I15" s="40"/>
      <c r="J15" s="39"/>
      <c r="XFC15"/>
    </row>
    <row r="16" s="25" customFormat="1" ht="34.2" spans="1:16383">
      <c r="A16" s="26">
        <v>17</v>
      </c>
      <c r="B16" s="27" t="s">
        <v>79</v>
      </c>
      <c r="C16" s="46" t="s">
        <v>87</v>
      </c>
      <c r="D16" s="46" t="s">
        <v>81</v>
      </c>
      <c r="E16" s="46" t="s">
        <v>88</v>
      </c>
      <c r="F16" s="46" t="s">
        <v>83</v>
      </c>
      <c r="G16" s="30">
        <v>1</v>
      </c>
      <c r="H16" s="32" t="s">
        <v>84</v>
      </c>
      <c r="I16" s="40"/>
      <c r="J16" s="39"/>
      <c r="XFC16"/>
    </row>
    <row r="17" s="25" customFormat="1" ht="34.2" spans="1:16383">
      <c r="A17" s="26">
        <v>17</v>
      </c>
      <c r="B17" s="27" t="s">
        <v>79</v>
      </c>
      <c r="C17" s="46" t="s">
        <v>89</v>
      </c>
      <c r="D17" s="46" t="s">
        <v>81</v>
      </c>
      <c r="E17" s="46" t="s">
        <v>90</v>
      </c>
      <c r="F17" s="46" t="s">
        <v>83</v>
      </c>
      <c r="G17" s="30">
        <v>1</v>
      </c>
      <c r="H17" s="32" t="s">
        <v>84</v>
      </c>
      <c r="I17" s="40"/>
      <c r="J17" s="39"/>
      <c r="XFC17"/>
    </row>
    <row r="18" s="25" customFormat="1" ht="34.2" spans="1:16383">
      <c r="A18" s="26">
        <v>17</v>
      </c>
      <c r="B18" s="27" t="s">
        <v>79</v>
      </c>
      <c r="C18" s="46" t="s">
        <v>91</v>
      </c>
      <c r="D18" s="46" t="s">
        <v>81</v>
      </c>
      <c r="E18" s="46" t="s">
        <v>92</v>
      </c>
      <c r="F18" s="46" t="s">
        <v>83</v>
      </c>
      <c r="G18" s="30">
        <v>1</v>
      </c>
      <c r="H18" s="32" t="s">
        <v>84</v>
      </c>
      <c r="I18" s="40"/>
      <c r="J18" s="39"/>
      <c r="XFC18"/>
    </row>
    <row r="19" s="25" customFormat="1" ht="34.2" spans="1:16383">
      <c r="A19" s="26">
        <v>17</v>
      </c>
      <c r="B19" s="27" t="s">
        <v>79</v>
      </c>
      <c r="C19" s="46" t="s">
        <v>93</v>
      </c>
      <c r="D19" s="46" t="s">
        <v>81</v>
      </c>
      <c r="E19" s="46" t="s">
        <v>94</v>
      </c>
      <c r="F19" s="46" t="s">
        <v>83</v>
      </c>
      <c r="G19" s="30">
        <v>1</v>
      </c>
      <c r="H19" s="32" t="s">
        <v>84</v>
      </c>
      <c r="I19" s="40"/>
      <c r="J19" s="39"/>
      <c r="XFC19"/>
    </row>
    <row r="20" s="25" customFormat="1" ht="34.2" spans="1:16383">
      <c r="A20" s="26">
        <v>17</v>
      </c>
      <c r="B20" s="27" t="s">
        <v>79</v>
      </c>
      <c r="C20" s="46" t="s">
        <v>95</v>
      </c>
      <c r="D20" s="46" t="s">
        <v>81</v>
      </c>
      <c r="E20" s="46" t="s">
        <v>96</v>
      </c>
      <c r="F20" s="46" t="s">
        <v>83</v>
      </c>
      <c r="G20" s="30">
        <v>1</v>
      </c>
      <c r="H20" s="32" t="s">
        <v>84</v>
      </c>
      <c r="I20" s="40"/>
      <c r="J20" s="39"/>
      <c r="XFC20"/>
    </row>
    <row r="21" s="25" customFormat="1" ht="34.2" spans="1:16383">
      <c r="A21" s="26">
        <v>17</v>
      </c>
      <c r="B21" s="27" t="s">
        <v>79</v>
      </c>
      <c r="C21" s="46" t="s">
        <v>97</v>
      </c>
      <c r="D21" s="46" t="s">
        <v>81</v>
      </c>
      <c r="E21" s="46" t="s">
        <v>98</v>
      </c>
      <c r="F21" s="46" t="s">
        <v>83</v>
      </c>
      <c r="G21" s="30">
        <v>1</v>
      </c>
      <c r="H21" s="32" t="s">
        <v>84</v>
      </c>
      <c r="I21" s="40"/>
      <c r="J21" s="39"/>
      <c r="XFC21"/>
    </row>
    <row r="22" s="25" customFormat="1" spans="1:16383">
      <c r="A22" s="26">
        <v>19</v>
      </c>
      <c r="B22" s="27" t="s">
        <v>79</v>
      </c>
      <c r="C22" s="46" t="s">
        <v>103</v>
      </c>
      <c r="D22" s="46" t="s">
        <v>104</v>
      </c>
      <c r="E22" s="46" t="s">
        <v>105</v>
      </c>
      <c r="F22" s="46" t="s">
        <v>106</v>
      </c>
      <c r="G22" s="30">
        <v>1</v>
      </c>
      <c r="H22" s="32" t="s">
        <v>107</v>
      </c>
      <c r="I22" s="40"/>
      <c r="J22" s="39"/>
      <c r="XFC22"/>
    </row>
    <row r="23" s="25" customFormat="1" spans="1:16383">
      <c r="A23" s="26">
        <v>21</v>
      </c>
      <c r="B23" s="27" t="s">
        <v>79</v>
      </c>
      <c r="C23" s="46" t="s">
        <v>111</v>
      </c>
      <c r="D23" s="47" t="s">
        <v>112</v>
      </c>
      <c r="E23" s="46" t="s">
        <v>113</v>
      </c>
      <c r="F23" s="46" t="s">
        <v>114</v>
      </c>
      <c r="G23" s="30">
        <v>1</v>
      </c>
      <c r="H23" s="32" t="s">
        <v>115</v>
      </c>
      <c r="I23" s="40"/>
      <c r="J23" s="39"/>
      <c r="XFC23"/>
    </row>
    <row r="24" s="25" customFormat="1" ht="22.8" spans="1:16383">
      <c r="A24" s="26">
        <v>22</v>
      </c>
      <c r="B24" s="27" t="s">
        <v>79</v>
      </c>
      <c r="C24" s="46" t="s">
        <v>116</v>
      </c>
      <c r="D24" s="47" t="s">
        <v>117</v>
      </c>
      <c r="E24" s="46" t="s">
        <v>118</v>
      </c>
      <c r="F24" s="46" t="s">
        <v>119</v>
      </c>
      <c r="G24" s="30">
        <v>1</v>
      </c>
      <c r="H24" s="32" t="s">
        <v>120</v>
      </c>
      <c r="I24" s="40"/>
      <c r="J24" s="39"/>
      <c r="XFC24"/>
    </row>
    <row r="25" s="25" customFormat="1" ht="34.2" spans="1:16383">
      <c r="A25" s="26">
        <v>26</v>
      </c>
      <c r="B25" s="27" t="s">
        <v>79</v>
      </c>
      <c r="C25" s="46" t="s">
        <v>97</v>
      </c>
      <c r="D25" s="46" t="s">
        <v>81</v>
      </c>
      <c r="E25" s="30" t="s">
        <v>135</v>
      </c>
      <c r="F25" s="46" t="s">
        <v>136</v>
      </c>
      <c r="G25" s="30">
        <v>1</v>
      </c>
      <c r="H25" s="35"/>
      <c r="I25" s="42"/>
      <c r="J25" s="39"/>
      <c r="XFC25"/>
    </row>
    <row r="26" s="25" customFormat="1" ht="24" customHeight="1" spans="1:16383">
      <c r="A26" s="26">
        <v>33</v>
      </c>
      <c r="B26" s="27" t="s">
        <v>79</v>
      </c>
      <c r="C26" s="46" t="s">
        <v>161</v>
      </c>
      <c r="D26" s="47" t="s">
        <v>162</v>
      </c>
      <c r="E26" s="46" t="s">
        <v>163</v>
      </c>
      <c r="F26" s="46" t="s">
        <v>106</v>
      </c>
      <c r="G26" s="30">
        <v>1</v>
      </c>
      <c r="H26" s="35"/>
      <c r="I26" s="42"/>
      <c r="J26" s="39"/>
      <c r="XFC26"/>
    </row>
    <row r="27" s="25" customFormat="1" spans="1:16383">
      <c r="A27" s="26">
        <v>4</v>
      </c>
      <c r="B27" s="27" t="s">
        <v>25</v>
      </c>
      <c r="C27" s="46" t="s">
        <v>26</v>
      </c>
      <c r="D27" s="46" t="s">
        <v>27</v>
      </c>
      <c r="E27" s="46" t="s">
        <v>28</v>
      </c>
      <c r="F27" s="46" t="s">
        <v>29</v>
      </c>
      <c r="G27" s="30">
        <v>1</v>
      </c>
      <c r="H27" s="32" t="s">
        <v>30</v>
      </c>
      <c r="I27" s="40"/>
      <c r="J27" s="39"/>
      <c r="XFC27"/>
    </row>
    <row r="28" s="25" customFormat="1" ht="22.8" spans="1:16383">
      <c r="A28" s="26">
        <v>5</v>
      </c>
      <c r="B28" s="27" t="s">
        <v>25</v>
      </c>
      <c r="C28" s="46" t="s">
        <v>31</v>
      </c>
      <c r="D28" s="46" t="s">
        <v>32</v>
      </c>
      <c r="E28" s="46" t="s">
        <v>33</v>
      </c>
      <c r="F28" s="46" t="s">
        <v>34</v>
      </c>
      <c r="G28" s="30">
        <v>1</v>
      </c>
      <c r="H28" s="32" t="s">
        <v>35</v>
      </c>
      <c r="I28" s="40"/>
      <c r="J28" s="39"/>
      <c r="XFC28"/>
    </row>
    <row r="29" s="25" customFormat="1" spans="1:16383">
      <c r="A29" s="26">
        <v>23</v>
      </c>
      <c r="B29" s="27" t="s">
        <v>25</v>
      </c>
      <c r="C29" s="46" t="s">
        <v>121</v>
      </c>
      <c r="D29" s="46" t="s">
        <v>122</v>
      </c>
      <c r="E29" s="46" t="s">
        <v>123</v>
      </c>
      <c r="F29" s="46" t="s">
        <v>124</v>
      </c>
      <c r="G29" s="30">
        <v>1</v>
      </c>
      <c r="H29" s="32" t="s">
        <v>125</v>
      </c>
      <c r="I29" s="40"/>
      <c r="J29" s="39"/>
      <c r="XFC29"/>
    </row>
    <row r="30" s="25" customFormat="1" spans="1:16383">
      <c r="A30" s="26">
        <v>1</v>
      </c>
      <c r="B30" s="27" t="s">
        <v>9</v>
      </c>
      <c r="C30" s="46" t="s">
        <v>10</v>
      </c>
      <c r="D30" s="46" t="s">
        <v>11</v>
      </c>
      <c r="E30" s="46" t="s">
        <v>12</v>
      </c>
      <c r="F30" s="46" t="s">
        <v>13</v>
      </c>
      <c r="G30" s="30">
        <v>1</v>
      </c>
      <c r="H30" s="32" t="s">
        <v>14</v>
      </c>
      <c r="I30" s="40"/>
      <c r="J30" s="39"/>
      <c r="XFC30"/>
    </row>
    <row r="31" s="25" customFormat="1" ht="22.8" spans="1:16383">
      <c r="A31" s="26">
        <v>2</v>
      </c>
      <c r="B31" s="27" t="s">
        <v>9</v>
      </c>
      <c r="C31" s="46" t="s">
        <v>15</v>
      </c>
      <c r="D31" s="46" t="s">
        <v>16</v>
      </c>
      <c r="E31" s="46" t="s">
        <v>17</v>
      </c>
      <c r="F31" s="46" t="s">
        <v>18</v>
      </c>
      <c r="G31" s="30">
        <v>1</v>
      </c>
      <c r="H31" s="32" t="s">
        <v>19</v>
      </c>
      <c r="I31" s="40"/>
      <c r="J31" s="39"/>
      <c r="XFC31"/>
    </row>
    <row r="32" s="25" customFormat="1" ht="22.8" spans="1:16383">
      <c r="A32" s="26">
        <v>3</v>
      </c>
      <c r="B32" s="27" t="s">
        <v>9</v>
      </c>
      <c r="C32" s="46" t="s">
        <v>20</v>
      </c>
      <c r="D32" s="47" t="s">
        <v>21</v>
      </c>
      <c r="E32" s="46" t="s">
        <v>22</v>
      </c>
      <c r="F32" s="46" t="s">
        <v>23</v>
      </c>
      <c r="G32" s="30">
        <v>1</v>
      </c>
      <c r="H32" s="32" t="s">
        <v>24</v>
      </c>
      <c r="I32" s="40"/>
      <c r="J32" s="39"/>
      <c r="XFC32"/>
    </row>
    <row r="33" s="25" customFormat="1" ht="34.2" spans="1:16383">
      <c r="A33" s="26">
        <v>6</v>
      </c>
      <c r="B33" s="27" t="s">
        <v>9</v>
      </c>
      <c r="C33" s="46" t="s">
        <v>36</v>
      </c>
      <c r="D33" s="46" t="s">
        <v>37</v>
      </c>
      <c r="E33" s="46" t="s">
        <v>38</v>
      </c>
      <c r="F33" s="46" t="s">
        <v>39</v>
      </c>
      <c r="G33" s="30">
        <v>1</v>
      </c>
      <c r="H33" s="32" t="s">
        <v>40</v>
      </c>
      <c r="I33" s="40"/>
      <c r="J33" s="39"/>
      <c r="XFC33"/>
    </row>
    <row r="34" s="25" customFormat="1" ht="36" customHeight="1" spans="1:16383">
      <c r="A34" s="26">
        <v>24</v>
      </c>
      <c r="B34" s="27" t="s">
        <v>9</v>
      </c>
      <c r="C34" s="46" t="s">
        <v>126</v>
      </c>
      <c r="D34" s="47" t="s">
        <v>127</v>
      </c>
      <c r="E34" s="46" t="s">
        <v>128</v>
      </c>
      <c r="F34" s="46" t="s">
        <v>129</v>
      </c>
      <c r="G34" s="30">
        <v>1</v>
      </c>
      <c r="H34" s="32" t="s">
        <v>130</v>
      </c>
      <c r="I34" s="40"/>
      <c r="J34" s="39"/>
      <c r="XFC34"/>
    </row>
    <row r="35" s="25" customFormat="1" spans="1:16383">
      <c r="A35" s="26">
        <v>25</v>
      </c>
      <c r="B35" s="27" t="s">
        <v>9</v>
      </c>
      <c r="C35" s="46" t="s">
        <v>131</v>
      </c>
      <c r="D35" s="46" t="s">
        <v>11</v>
      </c>
      <c r="E35" s="46" t="s">
        <v>132</v>
      </c>
      <c r="F35" s="46" t="s">
        <v>133</v>
      </c>
      <c r="G35" s="30">
        <v>1</v>
      </c>
      <c r="H35" s="32" t="s">
        <v>134</v>
      </c>
      <c r="I35" s="40"/>
      <c r="J35" s="39"/>
      <c r="XFC35"/>
    </row>
    <row r="36" s="25" customFormat="1" ht="45.6" spans="1:16383">
      <c r="A36" s="26">
        <v>27</v>
      </c>
      <c r="B36" s="27" t="s">
        <v>9</v>
      </c>
      <c r="C36" s="46" t="s">
        <v>137</v>
      </c>
      <c r="D36" s="46" t="s">
        <v>138</v>
      </c>
      <c r="E36" s="46" t="s">
        <v>139</v>
      </c>
      <c r="F36" s="46" t="s">
        <v>140</v>
      </c>
      <c r="G36" s="30">
        <v>1</v>
      </c>
      <c r="H36" s="36" t="s">
        <v>141</v>
      </c>
      <c r="I36" s="43"/>
      <c r="J36" s="39"/>
      <c r="XFC36"/>
    </row>
    <row r="37" s="25" customFormat="1" ht="22.8" spans="1:16383">
      <c r="A37" s="26">
        <v>28</v>
      </c>
      <c r="B37" s="27" t="s">
        <v>9</v>
      </c>
      <c r="C37" s="46" t="s">
        <v>142</v>
      </c>
      <c r="D37" s="46" t="s">
        <v>143</v>
      </c>
      <c r="E37" s="46" t="s">
        <v>144</v>
      </c>
      <c r="F37" s="46" t="s">
        <v>145</v>
      </c>
      <c r="G37" s="30">
        <v>1</v>
      </c>
      <c r="H37" s="32" t="s">
        <v>146</v>
      </c>
      <c r="I37" s="40"/>
      <c r="J37" s="39"/>
      <c r="XFC37"/>
    </row>
    <row r="38" s="25" customFormat="1" spans="1:16383">
      <c r="A38" s="26">
        <v>30</v>
      </c>
      <c r="B38" s="27" t="s">
        <v>9</v>
      </c>
      <c r="C38" s="46" t="s">
        <v>147</v>
      </c>
      <c r="D38" s="46" t="s">
        <v>11</v>
      </c>
      <c r="E38" s="46" t="s">
        <v>148</v>
      </c>
      <c r="F38" s="46" t="s">
        <v>149</v>
      </c>
      <c r="G38" s="30">
        <v>1</v>
      </c>
      <c r="H38" s="37" t="s">
        <v>150</v>
      </c>
      <c r="I38" s="44"/>
      <c r="J38" s="39"/>
      <c r="XFC38"/>
    </row>
    <row r="39" s="25" customFormat="1" ht="45.6" spans="1:16383">
      <c r="A39" s="26">
        <v>31</v>
      </c>
      <c r="B39" s="27" t="s">
        <v>151</v>
      </c>
      <c r="C39" s="46" t="s">
        <v>152</v>
      </c>
      <c r="D39" s="46" t="s">
        <v>153</v>
      </c>
      <c r="E39" s="46" t="s">
        <v>154</v>
      </c>
      <c r="F39" s="46" t="s">
        <v>155</v>
      </c>
      <c r="G39" s="30">
        <v>1</v>
      </c>
      <c r="H39" s="33" t="s">
        <v>156</v>
      </c>
      <c r="I39" s="41"/>
      <c r="J39" s="39"/>
      <c r="XFC39"/>
    </row>
    <row r="40" s="25" customFormat="1" spans="1:16383">
      <c r="A40" s="26">
        <v>32</v>
      </c>
      <c r="B40" s="27" t="s">
        <v>151</v>
      </c>
      <c r="C40" s="46" t="s">
        <v>157</v>
      </c>
      <c r="D40" s="46" t="s">
        <v>158</v>
      </c>
      <c r="E40" s="46" t="s">
        <v>159</v>
      </c>
      <c r="F40" s="46" t="s">
        <v>160</v>
      </c>
      <c r="G40" s="30">
        <v>1</v>
      </c>
      <c r="H40" s="33"/>
      <c r="I40" s="41"/>
      <c r="J40" s="39"/>
      <c r="XFC40"/>
    </row>
  </sheetData>
  <sortState ref="A2:H40">
    <sortCondition ref="B2"/>
  </sortState>
  <pageMargins left="0.357638888888889" right="0.357638888888889" top="0.409027777777778" bottom="0.409027777777778" header="0.511805555555556" footer="0.511805555555556"/>
  <pageSetup paperSize="9" scale="85" orientation="portrait" horizontalDpi="6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M28"/>
  <sheetViews>
    <sheetView topLeftCell="A16" workbookViewId="0">
      <selection activeCell="E5" sqref="$A5:$XFD5"/>
    </sheetView>
  </sheetViews>
  <sheetFormatPr defaultColWidth="9" defaultRowHeight="14.4"/>
  <cols>
    <col min="2" max="3" width="15.5" style="2" customWidth="1"/>
    <col min="4" max="4" width="28.3796296296296" style="2" customWidth="1"/>
    <col min="5" max="5" width="15.5" style="1" customWidth="1"/>
    <col min="6" max="6" width="9.87962962962963" style="2" customWidth="1"/>
    <col min="7" max="7" width="10.75" style="3" customWidth="1"/>
    <col min="8" max="8" width="13.6296296296296" style="2" customWidth="1"/>
    <col min="9" max="9" width="15.5" style="4" customWidth="1"/>
    <col min="10" max="10" width="9" style="5"/>
    <col min="11" max="11" width="9.37962962962963" style="5"/>
    <col min="12" max="12" width="9" style="5"/>
    <col min="13" max="13" width="33.1296296296296" style="6" customWidth="1"/>
    <col min="14" max="16384" width="9" style="2"/>
  </cols>
  <sheetData>
    <row r="1" s="1" customFormat="1" ht="31" customHeight="1" spans="2:13">
      <c r="B1" s="7" t="s">
        <v>166</v>
      </c>
      <c r="C1" s="7" t="s">
        <v>5</v>
      </c>
      <c r="D1" s="7" t="s">
        <v>167</v>
      </c>
      <c r="E1" s="7" t="s">
        <v>168</v>
      </c>
      <c r="F1" s="7" t="s">
        <v>169</v>
      </c>
      <c r="G1" s="8" t="s">
        <v>170</v>
      </c>
      <c r="H1" s="7" t="s">
        <v>171</v>
      </c>
      <c r="I1" s="17" t="s">
        <v>172</v>
      </c>
      <c r="J1" s="18" t="s">
        <v>173</v>
      </c>
      <c r="K1" s="18" t="s">
        <v>174</v>
      </c>
      <c r="L1" s="18" t="s">
        <v>175</v>
      </c>
      <c r="M1" s="19" t="s">
        <v>176</v>
      </c>
    </row>
    <row r="2" s="2" customFormat="1" ht="28.8" spans="2:13">
      <c r="B2" s="9" t="s">
        <v>177</v>
      </c>
      <c r="C2" s="10" t="s">
        <v>178</v>
      </c>
      <c r="D2" s="10" t="s">
        <v>179</v>
      </c>
      <c r="E2" s="11" t="s">
        <v>180</v>
      </c>
      <c r="F2" s="12"/>
      <c r="G2" s="13">
        <v>1</v>
      </c>
      <c r="H2" s="14" t="s">
        <v>120</v>
      </c>
      <c r="I2" s="20"/>
      <c r="J2" s="18">
        <f t="shared" ref="J2:J7" si="0">G2*8</f>
        <v>8</v>
      </c>
      <c r="K2" s="18">
        <v>0.32</v>
      </c>
      <c r="L2" s="18">
        <f t="shared" ref="L2:L27" si="1">J2*K2</f>
        <v>2.56</v>
      </c>
      <c r="M2" s="21" t="s">
        <v>181</v>
      </c>
    </row>
    <row r="3" s="2" customFormat="1" ht="28.8" spans="2:13">
      <c r="B3" s="9">
        <v>104</v>
      </c>
      <c r="C3" s="10" t="s">
        <v>182</v>
      </c>
      <c r="D3" s="10" t="s">
        <v>183</v>
      </c>
      <c r="E3" s="11" t="s">
        <v>184</v>
      </c>
      <c r="F3" s="12" t="s">
        <v>185</v>
      </c>
      <c r="G3" s="13">
        <v>18</v>
      </c>
      <c r="H3" s="14" t="s">
        <v>51</v>
      </c>
      <c r="I3" s="20"/>
      <c r="J3" s="18">
        <v>4000</v>
      </c>
      <c r="K3" s="18">
        <v>0.0154</v>
      </c>
      <c r="L3" s="18">
        <f t="shared" si="1"/>
        <v>61.6</v>
      </c>
      <c r="M3" s="21" t="s">
        <v>186</v>
      </c>
    </row>
    <row r="4" s="2" customFormat="1" spans="2:13">
      <c r="B4" s="9" t="s">
        <v>20</v>
      </c>
      <c r="C4" s="10" t="s">
        <v>187</v>
      </c>
      <c r="D4" s="10" t="s">
        <v>188</v>
      </c>
      <c r="E4" s="11" t="s">
        <v>189</v>
      </c>
      <c r="F4" s="12" t="s">
        <v>190</v>
      </c>
      <c r="G4" s="13">
        <v>1</v>
      </c>
      <c r="H4" s="14" t="s">
        <v>24</v>
      </c>
      <c r="I4" s="20"/>
      <c r="J4" s="18">
        <f t="shared" si="0"/>
        <v>8</v>
      </c>
      <c r="K4" s="18">
        <v>0.6</v>
      </c>
      <c r="L4" s="18">
        <f t="shared" si="1"/>
        <v>4.8</v>
      </c>
      <c r="M4" s="21" t="s">
        <v>191</v>
      </c>
    </row>
    <row r="5" s="2" customFormat="1" spans="2:13">
      <c r="B5" s="9" t="s">
        <v>66</v>
      </c>
      <c r="C5" s="10" t="s">
        <v>192</v>
      </c>
      <c r="D5" s="10" t="s">
        <v>193</v>
      </c>
      <c r="E5" s="7" t="s">
        <v>194</v>
      </c>
      <c r="F5" s="12" t="s">
        <v>195</v>
      </c>
      <c r="G5" s="13">
        <v>3</v>
      </c>
      <c r="H5" s="14" t="s">
        <v>70</v>
      </c>
      <c r="I5" s="20"/>
      <c r="J5" s="18">
        <v>5000</v>
      </c>
      <c r="K5" s="18">
        <f>77/5000</f>
        <v>0.0154</v>
      </c>
      <c r="L5" s="18">
        <f t="shared" si="1"/>
        <v>77</v>
      </c>
      <c r="M5" s="21" t="s">
        <v>196</v>
      </c>
    </row>
    <row r="6" s="2" customFormat="1" ht="28.8" spans="2:13">
      <c r="B6" s="9" t="s">
        <v>42</v>
      </c>
      <c r="C6" s="10" t="s">
        <v>197</v>
      </c>
      <c r="D6" s="10" t="s">
        <v>198</v>
      </c>
      <c r="E6" s="15" t="s">
        <v>199</v>
      </c>
      <c r="F6" s="12" t="s">
        <v>185</v>
      </c>
      <c r="G6" s="13">
        <v>1</v>
      </c>
      <c r="H6" s="14" t="s">
        <v>46</v>
      </c>
      <c r="I6" s="22"/>
      <c r="J6" s="18">
        <f t="shared" si="0"/>
        <v>8</v>
      </c>
      <c r="K6" s="18">
        <v>0.16</v>
      </c>
      <c r="L6" s="18">
        <f t="shared" si="1"/>
        <v>1.28</v>
      </c>
      <c r="M6" s="21" t="s">
        <v>200</v>
      </c>
    </row>
    <row r="7" s="2" customFormat="1" spans="2:13">
      <c r="B7" s="9" t="s">
        <v>131</v>
      </c>
      <c r="C7" s="10" t="s">
        <v>201</v>
      </c>
      <c r="D7" s="10" t="s">
        <v>131</v>
      </c>
      <c r="E7" s="7" t="s">
        <v>202</v>
      </c>
      <c r="F7" s="12"/>
      <c r="G7" s="13">
        <v>1</v>
      </c>
      <c r="H7" s="14" t="s">
        <v>134</v>
      </c>
      <c r="I7" s="22"/>
      <c r="J7" s="18">
        <f t="shared" si="0"/>
        <v>8</v>
      </c>
      <c r="K7" s="18">
        <v>0.39</v>
      </c>
      <c r="L7" s="18">
        <f t="shared" si="1"/>
        <v>3.12</v>
      </c>
      <c r="M7" s="21" t="s">
        <v>203</v>
      </c>
    </row>
    <row r="8" s="2" customFormat="1" ht="144" spans="2:13">
      <c r="B8" s="9" t="s">
        <v>121</v>
      </c>
      <c r="C8" s="10" t="s">
        <v>204</v>
      </c>
      <c r="D8" s="10" t="s">
        <v>205</v>
      </c>
      <c r="E8" s="7" t="s">
        <v>199</v>
      </c>
      <c r="F8" s="12" t="s">
        <v>206</v>
      </c>
      <c r="G8" s="13">
        <v>1</v>
      </c>
      <c r="H8" s="14" t="s">
        <v>125</v>
      </c>
      <c r="I8" s="23" t="s">
        <v>207</v>
      </c>
      <c r="J8" s="18">
        <v>20</v>
      </c>
      <c r="K8" s="18">
        <f>1.6/20</f>
        <v>0.08</v>
      </c>
      <c r="L8" s="18">
        <f t="shared" si="1"/>
        <v>1.6</v>
      </c>
      <c r="M8" s="21" t="s">
        <v>208</v>
      </c>
    </row>
    <row r="9" s="2" customFormat="1" ht="15.6" spans="2:13">
      <c r="B9" s="9" t="s">
        <v>209</v>
      </c>
      <c r="C9" s="10" t="s">
        <v>182</v>
      </c>
      <c r="D9" s="10" t="s">
        <v>210</v>
      </c>
      <c r="E9" s="7" t="s">
        <v>194</v>
      </c>
      <c r="F9" s="12" t="s">
        <v>195</v>
      </c>
      <c r="G9" s="13">
        <v>1</v>
      </c>
      <c r="H9" s="14" t="s">
        <v>211</v>
      </c>
      <c r="I9" s="20"/>
      <c r="J9" s="18">
        <v>5000</v>
      </c>
      <c r="K9" s="18">
        <f>21/5000</f>
        <v>0.0042</v>
      </c>
      <c r="L9" s="18">
        <f t="shared" si="1"/>
        <v>21</v>
      </c>
      <c r="M9" s="24" t="s">
        <v>212</v>
      </c>
    </row>
    <row r="10" s="2" customFormat="1" ht="104.4" spans="2:13">
      <c r="B10" s="9" t="s">
        <v>31</v>
      </c>
      <c r="C10" s="10" t="s">
        <v>204</v>
      </c>
      <c r="D10" s="10" t="s">
        <v>213</v>
      </c>
      <c r="E10" s="7" t="s">
        <v>199</v>
      </c>
      <c r="F10" s="12" t="s">
        <v>214</v>
      </c>
      <c r="G10" s="13">
        <v>1</v>
      </c>
      <c r="H10" s="14" t="s">
        <v>35</v>
      </c>
      <c r="I10" s="23" t="s">
        <v>215</v>
      </c>
      <c r="J10" s="18">
        <f t="shared" ref="J10:J14" si="2">G10*8</f>
        <v>8</v>
      </c>
      <c r="K10" s="18"/>
      <c r="L10" s="18">
        <f t="shared" si="1"/>
        <v>0</v>
      </c>
      <c r="M10" s="21"/>
    </row>
    <row r="11" s="2" customFormat="1" spans="2:13">
      <c r="B11" s="9" t="s">
        <v>111</v>
      </c>
      <c r="C11" s="10" t="s">
        <v>216</v>
      </c>
      <c r="D11" s="10" t="s">
        <v>111</v>
      </c>
      <c r="E11" s="7" t="s">
        <v>217</v>
      </c>
      <c r="F11" s="12" t="s">
        <v>218</v>
      </c>
      <c r="G11" s="13">
        <v>1</v>
      </c>
      <c r="H11" s="14" t="s">
        <v>115</v>
      </c>
      <c r="I11" s="20" t="s">
        <v>219</v>
      </c>
      <c r="J11" s="18">
        <v>20</v>
      </c>
      <c r="K11" s="18">
        <v>0.1</v>
      </c>
      <c r="L11" s="18">
        <f t="shared" si="1"/>
        <v>2</v>
      </c>
      <c r="M11" s="21" t="s">
        <v>220</v>
      </c>
    </row>
    <row r="12" s="2" customFormat="1" spans="2:13">
      <c r="B12" s="9" t="s">
        <v>142</v>
      </c>
      <c r="C12" s="10" t="s">
        <v>221</v>
      </c>
      <c r="D12" s="10" t="s">
        <v>222</v>
      </c>
      <c r="E12" s="7"/>
      <c r="F12" s="12"/>
      <c r="G12" s="13">
        <v>1</v>
      </c>
      <c r="H12" s="14" t="s">
        <v>146</v>
      </c>
      <c r="I12" s="20"/>
      <c r="J12" s="18">
        <f t="shared" si="2"/>
        <v>8</v>
      </c>
      <c r="K12" s="18">
        <v>0</v>
      </c>
      <c r="L12" s="18">
        <f t="shared" si="1"/>
        <v>0</v>
      </c>
      <c r="M12" s="21"/>
    </row>
    <row r="13" s="2" customFormat="1" spans="2:13">
      <c r="B13" s="9" t="s">
        <v>71</v>
      </c>
      <c r="C13" s="10" t="s">
        <v>192</v>
      </c>
      <c r="D13" s="10" t="s">
        <v>223</v>
      </c>
      <c r="E13" s="7" t="s">
        <v>194</v>
      </c>
      <c r="F13" s="12" t="s">
        <v>195</v>
      </c>
      <c r="G13" s="13">
        <v>1</v>
      </c>
      <c r="H13" s="14" t="s">
        <v>73</v>
      </c>
      <c r="I13" s="20"/>
      <c r="J13" s="18">
        <v>5000</v>
      </c>
      <c r="K13" s="18">
        <f>77/5000</f>
        <v>0.0154</v>
      </c>
      <c r="L13" s="18">
        <f t="shared" si="1"/>
        <v>77</v>
      </c>
      <c r="M13" s="21" t="s">
        <v>224</v>
      </c>
    </row>
    <row r="14" s="2" customFormat="1" spans="2:13">
      <c r="B14" s="9" t="s">
        <v>126</v>
      </c>
      <c r="C14" s="10" t="s">
        <v>201</v>
      </c>
      <c r="D14" s="10" t="s">
        <v>225</v>
      </c>
      <c r="E14" s="7" t="s">
        <v>226</v>
      </c>
      <c r="F14" s="12"/>
      <c r="G14" s="13">
        <v>1</v>
      </c>
      <c r="H14" s="14" t="s">
        <v>130</v>
      </c>
      <c r="I14" s="20"/>
      <c r="J14" s="18">
        <f t="shared" si="2"/>
        <v>8</v>
      </c>
      <c r="K14" s="18">
        <v>2.1</v>
      </c>
      <c r="L14" s="18">
        <f t="shared" si="1"/>
        <v>16.8</v>
      </c>
      <c r="M14" s="21" t="s">
        <v>227</v>
      </c>
    </row>
    <row r="15" s="2" customFormat="1" spans="2:13">
      <c r="B15" s="9" t="s">
        <v>103</v>
      </c>
      <c r="C15" s="10" t="s">
        <v>228</v>
      </c>
      <c r="D15" s="10" t="s">
        <v>229</v>
      </c>
      <c r="E15" s="7" t="s">
        <v>230</v>
      </c>
      <c r="F15" s="12"/>
      <c r="G15" s="13">
        <v>1</v>
      </c>
      <c r="H15" s="14" t="s">
        <v>107</v>
      </c>
      <c r="I15" s="22" t="s">
        <v>230</v>
      </c>
      <c r="J15" s="18">
        <v>20</v>
      </c>
      <c r="K15" s="18">
        <f>1.6/20</f>
        <v>0.08</v>
      </c>
      <c r="L15" s="18">
        <f t="shared" si="1"/>
        <v>1.6</v>
      </c>
      <c r="M15" s="21" t="s">
        <v>231</v>
      </c>
    </row>
    <row r="16" s="2" customFormat="1" ht="104.4" spans="2:13">
      <c r="B16" s="9" t="s">
        <v>26</v>
      </c>
      <c r="C16" s="10" t="s">
        <v>204</v>
      </c>
      <c r="D16" s="10" t="s">
        <v>232</v>
      </c>
      <c r="E16" s="7" t="s">
        <v>199</v>
      </c>
      <c r="F16" s="12"/>
      <c r="G16" s="13">
        <v>1</v>
      </c>
      <c r="H16" s="14" t="s">
        <v>30</v>
      </c>
      <c r="I16" s="23" t="s">
        <v>233</v>
      </c>
      <c r="J16" s="18">
        <f t="shared" ref="J16:J19" si="3">G16*8</f>
        <v>8</v>
      </c>
      <c r="K16" s="18">
        <v>0</v>
      </c>
      <c r="L16" s="18">
        <f t="shared" si="1"/>
        <v>0</v>
      </c>
      <c r="M16" s="21"/>
    </row>
    <row r="17" s="2" customFormat="1" ht="28.8" spans="2:13">
      <c r="B17" s="9" t="s">
        <v>234</v>
      </c>
      <c r="C17" s="10" t="s">
        <v>182</v>
      </c>
      <c r="D17" s="10" t="s">
        <v>235</v>
      </c>
      <c r="E17" s="7" t="s">
        <v>184</v>
      </c>
      <c r="F17" s="12" t="s">
        <v>185</v>
      </c>
      <c r="G17" s="13">
        <v>2</v>
      </c>
      <c r="H17" s="14" t="s">
        <v>236</v>
      </c>
      <c r="I17" s="20"/>
      <c r="J17" s="18">
        <v>4000</v>
      </c>
      <c r="K17" s="18">
        <v>0.023</v>
      </c>
      <c r="L17" s="18">
        <f t="shared" si="1"/>
        <v>92</v>
      </c>
      <c r="M17" s="21" t="s">
        <v>237</v>
      </c>
    </row>
    <row r="18" s="2" customFormat="1" spans="2:13">
      <c r="B18" s="9" t="s">
        <v>15</v>
      </c>
      <c r="C18" s="10" t="s">
        <v>238</v>
      </c>
      <c r="D18" s="10" t="s">
        <v>239</v>
      </c>
      <c r="E18" s="7"/>
      <c r="F18" s="12" t="s">
        <v>240</v>
      </c>
      <c r="G18" s="13">
        <v>1</v>
      </c>
      <c r="H18" s="14" t="s">
        <v>19</v>
      </c>
      <c r="I18" s="20"/>
      <c r="J18" s="18">
        <f t="shared" si="3"/>
        <v>8</v>
      </c>
      <c r="K18" s="18">
        <v>0</v>
      </c>
      <c r="L18" s="18">
        <f t="shared" si="1"/>
        <v>0</v>
      </c>
      <c r="M18" s="21"/>
    </row>
    <row r="19" s="2" customFormat="1" ht="28.8" spans="2:13">
      <c r="B19" s="9" t="s">
        <v>137</v>
      </c>
      <c r="C19" s="10" t="s">
        <v>241</v>
      </c>
      <c r="D19" s="10" t="s">
        <v>137</v>
      </c>
      <c r="E19" s="7" t="s">
        <v>242</v>
      </c>
      <c r="F19" s="12"/>
      <c r="G19" s="13">
        <v>1</v>
      </c>
      <c r="H19" s="14" t="s">
        <v>141</v>
      </c>
      <c r="I19" s="20"/>
      <c r="J19" s="18">
        <f t="shared" si="3"/>
        <v>8</v>
      </c>
      <c r="K19" s="18">
        <v>7.6</v>
      </c>
      <c r="L19" s="18">
        <f t="shared" si="1"/>
        <v>60.8</v>
      </c>
      <c r="M19" s="21" t="s">
        <v>243</v>
      </c>
    </row>
    <row r="20" s="2" customFormat="1" ht="28.8" spans="2:13">
      <c r="B20" s="9" t="s">
        <v>108</v>
      </c>
      <c r="C20" s="10" t="s">
        <v>182</v>
      </c>
      <c r="D20" s="10" t="s">
        <v>244</v>
      </c>
      <c r="E20" s="7" t="s">
        <v>245</v>
      </c>
      <c r="F20" s="12" t="s">
        <v>185</v>
      </c>
      <c r="G20" s="13">
        <v>1</v>
      </c>
      <c r="H20" s="14" t="s">
        <v>110</v>
      </c>
      <c r="I20" s="20"/>
      <c r="J20" s="18">
        <v>4000</v>
      </c>
      <c r="K20" s="18">
        <v>0.017</v>
      </c>
      <c r="L20" s="18">
        <f t="shared" si="1"/>
        <v>68</v>
      </c>
      <c r="M20" s="21" t="s">
        <v>246</v>
      </c>
    </row>
    <row r="21" s="2" customFormat="1" ht="28.8" spans="2:13">
      <c r="B21" s="9" t="s">
        <v>52</v>
      </c>
      <c r="C21" s="10" t="s">
        <v>182</v>
      </c>
      <c r="D21" s="10" t="s">
        <v>247</v>
      </c>
      <c r="E21" s="7" t="s">
        <v>184</v>
      </c>
      <c r="F21" s="12" t="s">
        <v>185</v>
      </c>
      <c r="G21" s="13">
        <v>3</v>
      </c>
      <c r="H21" s="14" t="s">
        <v>54</v>
      </c>
      <c r="I21" s="20"/>
      <c r="J21" s="18">
        <v>2000</v>
      </c>
      <c r="K21" s="18">
        <v>0.031</v>
      </c>
      <c r="L21" s="18">
        <f t="shared" si="1"/>
        <v>62</v>
      </c>
      <c r="M21" s="21" t="s">
        <v>248</v>
      </c>
    </row>
    <row r="22" s="2" customFormat="1" spans="2:13">
      <c r="B22" s="9" t="s">
        <v>56</v>
      </c>
      <c r="C22" s="10" t="s">
        <v>182</v>
      </c>
      <c r="D22" s="10" t="s">
        <v>249</v>
      </c>
      <c r="E22" s="7" t="s">
        <v>194</v>
      </c>
      <c r="F22" s="12" t="s">
        <v>195</v>
      </c>
      <c r="G22" s="13">
        <v>13</v>
      </c>
      <c r="H22" s="14" t="s">
        <v>60</v>
      </c>
      <c r="I22" s="20"/>
      <c r="J22" s="18">
        <v>5000</v>
      </c>
      <c r="K22" s="18">
        <f>21/5000</f>
        <v>0.0042</v>
      </c>
      <c r="L22" s="18">
        <f t="shared" si="1"/>
        <v>21</v>
      </c>
      <c r="M22" s="21" t="s">
        <v>250</v>
      </c>
    </row>
    <row r="23" s="2" customFormat="1" spans="2:13">
      <c r="B23" s="9" t="s">
        <v>61</v>
      </c>
      <c r="C23" s="10" t="s">
        <v>182</v>
      </c>
      <c r="D23" s="10" t="s">
        <v>251</v>
      </c>
      <c r="E23" s="7" t="s">
        <v>194</v>
      </c>
      <c r="F23" s="12" t="s">
        <v>195</v>
      </c>
      <c r="G23" s="13">
        <v>15</v>
      </c>
      <c r="H23" s="14" t="s">
        <v>63</v>
      </c>
      <c r="I23" s="20"/>
      <c r="J23" s="18">
        <v>5000</v>
      </c>
      <c r="K23" s="18">
        <f>21/5000</f>
        <v>0.0042</v>
      </c>
      <c r="L23" s="18">
        <f t="shared" si="1"/>
        <v>21</v>
      </c>
      <c r="M23" s="21" t="s">
        <v>252</v>
      </c>
    </row>
    <row r="24" s="2" customFormat="1" spans="2:13">
      <c r="B24" s="9" t="s">
        <v>36</v>
      </c>
      <c r="C24" s="10" t="s">
        <v>253</v>
      </c>
      <c r="D24" s="10" t="s">
        <v>36</v>
      </c>
      <c r="E24" s="7" t="s">
        <v>254</v>
      </c>
      <c r="F24" s="12"/>
      <c r="G24" s="13">
        <v>1</v>
      </c>
      <c r="H24" s="14" t="s">
        <v>40</v>
      </c>
      <c r="I24" s="20"/>
      <c r="J24" s="18">
        <f t="shared" ref="J24:J27" si="4">G24*8</f>
        <v>8</v>
      </c>
      <c r="K24" s="18">
        <v>3</v>
      </c>
      <c r="L24" s="18">
        <f t="shared" si="1"/>
        <v>24</v>
      </c>
      <c r="M24" s="21" t="s">
        <v>255</v>
      </c>
    </row>
    <row r="25" s="2" customFormat="1" spans="2:13">
      <c r="B25" s="9" t="s">
        <v>10</v>
      </c>
      <c r="C25" s="10" t="s">
        <v>256</v>
      </c>
      <c r="D25" s="10" t="s">
        <v>257</v>
      </c>
      <c r="E25" s="7"/>
      <c r="F25" s="12"/>
      <c r="G25" s="13">
        <v>1</v>
      </c>
      <c r="H25" s="14" t="s">
        <v>14</v>
      </c>
      <c r="I25" s="20"/>
      <c r="J25" s="18">
        <f t="shared" si="4"/>
        <v>8</v>
      </c>
      <c r="K25" s="18">
        <v>0</v>
      </c>
      <c r="L25" s="18">
        <f t="shared" si="1"/>
        <v>0</v>
      </c>
      <c r="M25" s="21"/>
    </row>
    <row r="26" s="2" customFormat="1" spans="2:13">
      <c r="B26" s="16" t="s">
        <v>258</v>
      </c>
      <c r="C26" s="12" t="s">
        <v>182</v>
      </c>
      <c r="D26" s="12" t="s">
        <v>259</v>
      </c>
      <c r="E26" s="7" t="s">
        <v>199</v>
      </c>
      <c r="F26" s="12" t="s">
        <v>260</v>
      </c>
      <c r="G26" s="13">
        <v>9</v>
      </c>
      <c r="H26" s="14" t="s">
        <v>84</v>
      </c>
      <c r="I26" s="22" t="s">
        <v>261</v>
      </c>
      <c r="J26" s="18">
        <v>80</v>
      </c>
      <c r="K26" s="18">
        <f>0.8/20</f>
        <v>0.04</v>
      </c>
      <c r="L26" s="18">
        <f t="shared" si="1"/>
        <v>3.2</v>
      </c>
      <c r="M26" s="21" t="s">
        <v>262</v>
      </c>
    </row>
    <row r="27" s="2" customFormat="1" spans="2:13">
      <c r="B27" s="9" t="s">
        <v>74</v>
      </c>
      <c r="C27" s="10" t="s">
        <v>263</v>
      </c>
      <c r="D27" s="10" t="s">
        <v>264</v>
      </c>
      <c r="E27" s="7" t="s">
        <v>265</v>
      </c>
      <c r="F27" s="12" t="s">
        <v>185</v>
      </c>
      <c r="G27" s="13">
        <v>1</v>
      </c>
      <c r="H27" s="14" t="s">
        <v>78</v>
      </c>
      <c r="I27" s="20"/>
      <c r="J27" s="18">
        <f t="shared" si="4"/>
        <v>8</v>
      </c>
      <c r="K27" s="18">
        <v>0.5</v>
      </c>
      <c r="L27" s="18">
        <f t="shared" si="1"/>
        <v>4</v>
      </c>
      <c r="M27" s="21" t="s">
        <v>266</v>
      </c>
    </row>
    <row r="28" s="2" customFormat="1" spans="5:13">
      <c r="E28" s="1"/>
      <c r="G28" s="3"/>
      <c r="I28" s="4"/>
      <c r="J28" s="5"/>
      <c r="K28" s="5" t="s">
        <v>175</v>
      </c>
      <c r="L28" s="5">
        <f>SUM(L2:L27)</f>
        <v>626.36</v>
      </c>
      <c r="M28" s="6"/>
    </row>
  </sheetData>
  <hyperlinks>
    <hyperlink ref="M9" r:id="rId1" display="0805W8F1003T5E" tooltip="https://item.szlcsc.com/160838.html"/>
  </hyperlinks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蓝桥1.3BOM</vt:lpstr>
      <vt:lpstr>蓝桥贴片</vt:lpstr>
      <vt:lpstr>优信数据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17511426</cp:lastModifiedBy>
  <dcterms:created xsi:type="dcterms:W3CDTF">2024-05-12T13:43:00Z</dcterms:created>
  <dcterms:modified xsi:type="dcterms:W3CDTF">2024-05-13T10:12:15Z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2052-10.1.0.7566</vt:lpwstr>
  </property>
</Properties>
</file>