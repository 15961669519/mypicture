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15个34级模块BOM表" sheetId="2" r:id="rId1"/>
    <sheet name="34级元件采购表" sheetId="3" r:id="rId2"/>
    <sheet name="排线插针et1" sheetId="4" r:id="rId3"/>
  </sheets>
  <definedNames>
    <definedName name="_xlnm._FilterDatabase" localSheetId="1" hidden="1">'34级元件采购表'!$A$1:$F$75</definedName>
  </definedNames>
  <calcPr calcId="144525"/>
</workbook>
</file>

<file path=xl/sharedStrings.xml><?xml version="1.0" encoding="utf-8"?>
<sst xmlns="http://schemas.openxmlformats.org/spreadsheetml/2006/main" count="842" uniqueCount="272">
  <si>
    <t>直插（绿底）和贴片（蓝底）</t>
  </si>
  <si>
    <t>序号</t>
  </si>
  <si>
    <r>
      <rPr>
        <b/>
        <sz val="12"/>
        <color rgb="FF000000"/>
        <rFont val="Segoe UI"/>
        <charset val="134"/>
      </rPr>
      <t>Comment</t>
    </r>
    <r>
      <rPr>
        <b/>
        <sz val="12"/>
        <color rgb="FF000000"/>
        <rFont val="宋体"/>
        <charset val="134"/>
      </rPr>
      <t>（型号）</t>
    </r>
  </si>
  <si>
    <r>
      <rPr>
        <b/>
        <sz val="12"/>
        <color rgb="FF000000"/>
        <rFont val="Segoe UI"/>
        <charset val="134"/>
      </rPr>
      <t>Designator</t>
    </r>
    <r>
      <rPr>
        <b/>
        <sz val="12"/>
        <color rgb="FF000000"/>
        <rFont val="宋体"/>
        <charset val="134"/>
      </rPr>
      <t>（位号）</t>
    </r>
  </si>
  <si>
    <r>
      <rPr>
        <b/>
        <sz val="12"/>
        <color rgb="FF000000"/>
        <rFont val="Segoe UI"/>
        <charset val="134"/>
      </rPr>
      <t>Footprint</t>
    </r>
    <r>
      <rPr>
        <b/>
        <sz val="12"/>
        <color rgb="FF000000"/>
        <rFont val="宋体"/>
        <charset val="134"/>
      </rPr>
      <t>（封装）</t>
    </r>
  </si>
  <si>
    <r>
      <rPr>
        <b/>
        <sz val="12"/>
        <color indexed="8"/>
        <rFont val="Microsoft Sans Serif"/>
        <charset val="134"/>
      </rPr>
      <t>Quantity</t>
    </r>
    <r>
      <rPr>
        <b/>
        <sz val="12"/>
        <color indexed="8"/>
        <rFont val="宋体"/>
        <charset val="134"/>
      </rPr>
      <t>（数量）</t>
    </r>
  </si>
  <si>
    <t>项目名</t>
  </si>
  <si>
    <t>2.54-2pin 排母</t>
  </si>
  <si>
    <t>P1</t>
  </si>
  <si>
    <t>ZIP</t>
  </si>
  <si>
    <t>1*3</t>
  </si>
  <si>
    <r>
      <rPr>
        <sz val="14"/>
        <color theme="1"/>
        <rFont val="宋体"/>
        <charset val="134"/>
        <scheme val="minor"/>
      </rPr>
      <t>01LED灯模块</t>
    </r>
    <r>
      <rPr>
        <sz val="14"/>
        <color rgb="FFFF0000"/>
        <rFont val="宋体"/>
        <charset val="134"/>
        <scheme val="minor"/>
      </rPr>
      <t>X3</t>
    </r>
  </si>
  <si>
    <t>KF2510-3</t>
  </si>
  <si>
    <t>P2</t>
  </si>
  <si>
    <t>2.54 90°弯针</t>
  </si>
  <si>
    <t>100R 5%</t>
  </si>
  <si>
    <t>R1</t>
  </si>
  <si>
    <t>0805-R</t>
  </si>
  <si>
    <t>01LED灯模块X3</t>
  </si>
  <si>
    <t>KF2510-4</t>
  </si>
  <si>
    <t>P6</t>
  </si>
  <si>
    <t>02LED交通灯模块</t>
  </si>
  <si>
    <t>LED-G</t>
  </si>
  <si>
    <t>P3</t>
  </si>
  <si>
    <t>LED-Y</t>
  </si>
  <si>
    <t>P4</t>
  </si>
  <si>
    <t>LED-R</t>
  </si>
  <si>
    <t>P5</t>
  </si>
  <si>
    <t>220R 5%</t>
  </si>
  <si>
    <t>R2, R3, R4</t>
  </si>
  <si>
    <t>B3F-4055按键</t>
  </si>
  <si>
    <t>P7</t>
  </si>
  <si>
    <t>DIP</t>
  </si>
  <si>
    <r>
      <rPr>
        <sz val="14"/>
        <color theme="1"/>
        <rFont val="宋体"/>
        <charset val="134"/>
        <scheme val="minor"/>
      </rPr>
      <t>03按键模块</t>
    </r>
    <r>
      <rPr>
        <sz val="14"/>
        <color rgb="FFFF0000"/>
        <rFont val="宋体"/>
        <charset val="134"/>
        <scheme val="minor"/>
      </rPr>
      <t>X2</t>
    </r>
  </si>
  <si>
    <t>12*12*7按键帽</t>
  </si>
  <si>
    <t>P7A</t>
  </si>
  <si>
    <t>P8</t>
  </si>
  <si>
    <t>10K 5%</t>
  </si>
  <si>
    <t>R5</t>
  </si>
  <si>
    <t>03按键模块X2</t>
  </si>
  <si>
    <r>
      <rPr>
        <sz val="14"/>
        <color rgb="FF0000FF"/>
        <rFont val="Microsoft Sans Serif"/>
        <charset val="134"/>
      </rPr>
      <t>LED</t>
    </r>
    <r>
      <rPr>
        <sz val="14"/>
        <color rgb="FF0000FF"/>
        <rFont val="宋体"/>
        <charset val="134"/>
      </rPr>
      <t>发射</t>
    </r>
  </si>
  <si>
    <t>P9</t>
  </si>
  <si>
    <r>
      <rPr>
        <sz val="14"/>
        <color rgb="FF0000FF"/>
        <rFont val="Microsoft Sans Serif"/>
        <charset val="134"/>
      </rPr>
      <t>04</t>
    </r>
    <r>
      <rPr>
        <sz val="14"/>
        <color rgb="FF0000FF"/>
        <rFont val="宋体"/>
        <charset val="134"/>
      </rPr>
      <t>避障模块</t>
    </r>
    <r>
      <rPr>
        <sz val="14"/>
        <color rgb="FFFF0000"/>
        <rFont val="宋体"/>
        <charset val="134"/>
        <scheme val="minor"/>
      </rPr>
      <t>X2</t>
    </r>
  </si>
  <si>
    <t>红外线接收</t>
  </si>
  <si>
    <t>P10</t>
  </si>
  <si>
    <t>P11</t>
  </si>
  <si>
    <r>
      <rPr>
        <sz val="14"/>
        <color indexed="12"/>
        <rFont val="Microsoft Sans Serif"/>
        <charset val="134"/>
      </rPr>
      <t>2.54 90°</t>
    </r>
    <r>
      <rPr>
        <sz val="14"/>
        <color indexed="12"/>
        <rFont val="宋体"/>
        <charset val="134"/>
      </rPr>
      <t>弯针</t>
    </r>
  </si>
  <si>
    <r>
      <rPr>
        <sz val="14"/>
        <color indexed="12"/>
        <rFont val="Microsoft Sans Serif"/>
        <charset val="134"/>
      </rPr>
      <t>3362</t>
    </r>
    <r>
      <rPr>
        <sz val="14"/>
        <color indexed="12"/>
        <rFont val="宋体"/>
        <charset val="134"/>
      </rPr>
      <t>（可调电阻）</t>
    </r>
  </si>
  <si>
    <t>P12</t>
  </si>
  <si>
    <t>104 50V 10%</t>
  </si>
  <si>
    <t>C1, C2</t>
  </si>
  <si>
    <r>
      <rPr>
        <sz val="14"/>
        <color rgb="FF0000FF"/>
        <rFont val="Microsoft Sans Serif"/>
        <charset val="134"/>
      </rPr>
      <t>04</t>
    </r>
    <r>
      <rPr>
        <sz val="14"/>
        <color rgb="FF0000FF"/>
        <rFont val="宋体"/>
        <charset val="134"/>
      </rPr>
      <t>避障模块</t>
    </r>
    <r>
      <rPr>
        <sz val="14"/>
        <color rgb="FF0000FF"/>
        <rFont val="Microsoft Sans Serif"/>
        <charset val="134"/>
      </rPr>
      <t>X2</t>
    </r>
  </si>
  <si>
    <r>
      <rPr>
        <sz val="14"/>
        <color rgb="FFFF0000"/>
        <rFont val="宋体"/>
        <charset val="134"/>
      </rPr>
      <t>贴片</t>
    </r>
    <r>
      <rPr>
        <sz val="14"/>
        <color rgb="FFFF0000"/>
        <rFont val="Microsoft Sans Serif"/>
        <charset val="134"/>
      </rPr>
      <t>LED</t>
    </r>
  </si>
  <si>
    <t>LED1, LED2</t>
  </si>
  <si>
    <t>1206</t>
  </si>
  <si>
    <t>100R 5%-101</t>
  </si>
  <si>
    <t>R6</t>
  </si>
  <si>
    <t>10K 5%-103</t>
  </si>
  <si>
    <t>R7, R8</t>
  </si>
  <si>
    <t>1K 5%-102</t>
  </si>
  <si>
    <t>R9, R10</t>
  </si>
  <si>
    <t>LM393</t>
  </si>
  <si>
    <t>U10</t>
  </si>
  <si>
    <t>sop8</t>
  </si>
  <si>
    <t>2.54-4pin 排母</t>
  </si>
  <si>
    <t>P13</t>
  </si>
  <si>
    <r>
      <rPr>
        <sz val="14"/>
        <color theme="1"/>
        <rFont val="宋体"/>
        <charset val="134"/>
        <scheme val="minor"/>
      </rPr>
      <t>05超声波转接板</t>
    </r>
    <r>
      <rPr>
        <sz val="14"/>
        <color rgb="FFFF0000"/>
        <rFont val="宋体"/>
        <charset val="134"/>
        <scheme val="minor"/>
      </rPr>
      <t>X1</t>
    </r>
  </si>
  <si>
    <t>P14</t>
  </si>
  <si>
    <t>2.54-15PIN 排针</t>
  </si>
  <si>
    <t>P15,P16</t>
  </si>
  <si>
    <r>
      <rPr>
        <sz val="14"/>
        <color theme="1"/>
        <rFont val="宋体"/>
        <charset val="134"/>
        <scheme val="minor"/>
      </rPr>
      <t>06电机驱动</t>
    </r>
    <r>
      <rPr>
        <sz val="14"/>
        <color rgb="FFFF0000"/>
        <rFont val="宋体"/>
        <charset val="134"/>
        <scheme val="minor"/>
      </rPr>
      <t>X1</t>
    </r>
  </si>
  <si>
    <t>C11, C12</t>
  </si>
  <si>
    <t>寻迹模块</t>
  </si>
  <si>
    <t>2.54-2pin 排针</t>
  </si>
  <si>
    <t>P17,P18,P19,P20</t>
  </si>
  <si>
    <t>贴片LED</t>
  </si>
  <si>
    <t>LED6, LED7</t>
  </si>
  <si>
    <t>C3, C4</t>
  </si>
  <si>
    <t>06电机驱动X1</t>
  </si>
  <si>
    <t>150 5%-151</t>
  </si>
  <si>
    <t>R4</t>
  </si>
  <si>
    <r>
      <rPr>
        <sz val="11"/>
        <color rgb="FFFF0000"/>
        <rFont val="Microsoft Sans Serif"/>
        <charset val="134"/>
      </rPr>
      <t>10UF 25V-106E</t>
    </r>
    <r>
      <rPr>
        <sz val="11"/>
        <color rgb="FFFF0000"/>
        <rFont val="宋体"/>
        <charset val="134"/>
      </rPr>
      <t>（</t>
    </r>
    <r>
      <rPr>
        <sz val="11"/>
        <color rgb="FFFF0000"/>
        <rFont val="Microsoft Sans Serif"/>
        <charset val="134"/>
      </rPr>
      <t xml:space="preserve"> </t>
    </r>
    <r>
      <rPr>
        <sz val="11"/>
        <color rgb="FFFF0000"/>
        <rFont val="宋体"/>
        <charset val="134"/>
      </rPr>
      <t>钽电容）</t>
    </r>
  </si>
  <si>
    <t>C5, C6</t>
  </si>
  <si>
    <r>
      <rPr>
        <sz val="14"/>
        <color rgb="FFFF0000"/>
        <rFont val="Microsoft Sans Serif"/>
        <charset val="134"/>
      </rPr>
      <t>6032 C</t>
    </r>
    <r>
      <rPr>
        <sz val="14"/>
        <color rgb="FFFF0000"/>
        <rFont val="宋体"/>
        <charset val="134"/>
      </rPr>
      <t>型</t>
    </r>
    <r>
      <rPr>
        <sz val="14"/>
        <color rgb="FFFF0000"/>
        <rFont val="Microsoft Sans Serif"/>
        <charset val="134"/>
      </rPr>
      <t xml:space="preserve"> </t>
    </r>
  </si>
  <si>
    <t>R22, R23</t>
  </si>
  <si>
    <t>NC</t>
  </si>
  <si>
    <t>R24, R25</t>
  </si>
  <si>
    <t>200K 5%-204</t>
  </si>
  <si>
    <t>R11</t>
  </si>
  <si>
    <t>LM393-07M</t>
  </si>
  <si>
    <t>U4</t>
  </si>
  <si>
    <t>6612FNG</t>
  </si>
  <si>
    <t>U1</t>
  </si>
  <si>
    <t>sop24</t>
  </si>
  <si>
    <t>RV09立式-103</t>
  </si>
  <si>
    <t>P21</t>
  </si>
  <si>
    <r>
      <rPr>
        <sz val="14"/>
        <color theme="1"/>
        <rFont val="宋体"/>
        <charset val="134"/>
        <scheme val="minor"/>
      </rPr>
      <t>07电位器模块</t>
    </r>
    <r>
      <rPr>
        <sz val="14"/>
        <color rgb="FFFF0000"/>
        <rFont val="宋体"/>
        <charset val="134"/>
        <scheme val="minor"/>
      </rPr>
      <t>X1</t>
    </r>
  </si>
  <si>
    <t>104 25V 10%</t>
  </si>
  <si>
    <t>C8, C9</t>
  </si>
  <si>
    <t>光敏电阻模块</t>
  </si>
  <si>
    <t>P22</t>
  </si>
  <si>
    <t>LED3, LED4</t>
  </si>
  <si>
    <t>104 50V  10%</t>
  </si>
  <si>
    <t>C7</t>
  </si>
  <si>
    <t>07电位器模块X1</t>
  </si>
  <si>
    <t>R13, R14</t>
  </si>
  <si>
    <t>蜂鸣器</t>
  </si>
  <si>
    <t>P23</t>
  </si>
  <si>
    <r>
      <rPr>
        <sz val="14"/>
        <color theme="1"/>
        <rFont val="宋体"/>
        <charset val="134"/>
        <scheme val="minor"/>
      </rPr>
      <t>08蜂鸣器模块</t>
    </r>
    <r>
      <rPr>
        <sz val="14"/>
        <color rgb="FFFF0000"/>
        <rFont val="宋体"/>
        <charset val="134"/>
        <scheme val="minor"/>
      </rPr>
      <t>X1</t>
    </r>
  </si>
  <si>
    <t>R16,R16</t>
  </si>
  <si>
    <t>P24</t>
  </si>
  <si>
    <t>U2</t>
  </si>
  <si>
    <t>SS14</t>
  </si>
  <si>
    <t>D1</t>
  </si>
  <si>
    <t>DO-214AC/SMA</t>
  </si>
  <si>
    <t>蜂鸣器模块</t>
  </si>
  <si>
    <t>J3Y</t>
  </si>
  <si>
    <t>Q5</t>
  </si>
  <si>
    <t>sot23</t>
  </si>
  <si>
    <t>R12</t>
  </si>
  <si>
    <r>
      <rPr>
        <sz val="14"/>
        <color rgb="FFFF0000"/>
        <rFont val="Microsoft Sans Serif"/>
        <charset val="134"/>
      </rPr>
      <t>51</t>
    </r>
    <r>
      <rPr>
        <sz val="14"/>
        <color rgb="FFFF0000"/>
        <rFont val="宋体"/>
        <charset val="134"/>
      </rPr>
      <t>R</t>
    </r>
    <r>
      <rPr>
        <sz val="14"/>
        <color rgb="FFFF0000"/>
        <rFont val="Microsoft Sans Serif"/>
        <charset val="134"/>
      </rPr>
      <t>5%-510</t>
    </r>
  </si>
  <si>
    <t>R13</t>
  </si>
  <si>
    <t>P25</t>
  </si>
  <si>
    <r>
      <rPr>
        <sz val="14"/>
        <color theme="1"/>
        <rFont val="宋体"/>
        <charset val="134"/>
        <scheme val="minor"/>
      </rPr>
      <t>09光敏电阻模块</t>
    </r>
    <r>
      <rPr>
        <sz val="14"/>
        <color rgb="FFFF0000"/>
        <rFont val="宋体"/>
        <charset val="134"/>
        <scheme val="minor"/>
      </rPr>
      <t>X2</t>
    </r>
  </si>
  <si>
    <t>3362（103可调电阻）</t>
  </si>
  <si>
    <t>P26</t>
  </si>
  <si>
    <t>光敏电阻</t>
  </si>
  <si>
    <t>P27</t>
  </si>
  <si>
    <t>红外线接收头-1838</t>
  </si>
  <si>
    <t>P28</t>
  </si>
  <si>
    <r>
      <rPr>
        <sz val="14"/>
        <color theme="1"/>
        <rFont val="宋体"/>
        <charset val="134"/>
        <scheme val="minor"/>
      </rPr>
      <t>10红外遥控模块</t>
    </r>
    <r>
      <rPr>
        <sz val="14"/>
        <color rgb="FFFF0000"/>
        <rFont val="宋体"/>
        <charset val="134"/>
        <scheme val="minor"/>
      </rPr>
      <t>X1</t>
    </r>
  </si>
  <si>
    <t>P29</t>
  </si>
  <si>
    <t>LED5</t>
  </si>
  <si>
    <t>红外遥控接收模块</t>
  </si>
  <si>
    <t>R19</t>
  </si>
  <si>
    <t>贴片电容</t>
  </si>
  <si>
    <t>R17</t>
  </si>
  <si>
    <t>510R 5%-511</t>
  </si>
  <si>
    <t>R18</t>
  </si>
  <si>
    <t>LM35</t>
  </si>
  <si>
    <t>P30</t>
  </si>
  <si>
    <t>TO-92</t>
  </si>
  <si>
    <r>
      <rPr>
        <sz val="14"/>
        <color theme="1"/>
        <rFont val="宋体"/>
        <charset val="134"/>
        <scheme val="minor"/>
      </rPr>
      <t>11温度模块</t>
    </r>
    <r>
      <rPr>
        <sz val="14"/>
        <color rgb="FFFF0000"/>
        <rFont val="宋体"/>
        <charset val="134"/>
        <scheme val="minor"/>
      </rPr>
      <t>X1</t>
    </r>
  </si>
  <si>
    <t>P31</t>
  </si>
  <si>
    <t>C10</t>
  </si>
  <si>
    <t>温度传感器模块</t>
  </si>
  <si>
    <t>N20马达</t>
  </si>
  <si>
    <t>P32</t>
  </si>
  <si>
    <r>
      <rPr>
        <sz val="14"/>
        <color theme="1"/>
        <rFont val="宋体"/>
        <charset val="134"/>
        <scheme val="minor"/>
      </rPr>
      <t>12小马达模块</t>
    </r>
    <r>
      <rPr>
        <sz val="14"/>
        <color rgb="FFFF0000"/>
        <rFont val="宋体"/>
        <charset val="134"/>
        <scheme val="minor"/>
      </rPr>
      <t>X1</t>
    </r>
  </si>
  <si>
    <t>P33</t>
  </si>
  <si>
    <t>D2</t>
  </si>
  <si>
    <t>小马达模块</t>
  </si>
  <si>
    <t>Q4</t>
  </si>
  <si>
    <t>0R</t>
  </si>
  <si>
    <t>R20</t>
  </si>
  <si>
    <t>1k 5%-102</t>
  </si>
  <si>
    <t>R21</t>
  </si>
  <si>
    <t>P34</t>
  </si>
  <si>
    <t>13寻迹模块X2</t>
  </si>
  <si>
    <t>3362（可调电阻）</t>
  </si>
  <si>
    <t>P35</t>
  </si>
  <si>
    <t>tcRt5000（光电对管）</t>
  </si>
  <si>
    <t>P36</t>
  </si>
  <si>
    <t>喇叭DR1010TW-DRAEN</t>
  </si>
  <si>
    <t>P37</t>
  </si>
  <si>
    <r>
      <rPr>
        <sz val="14"/>
        <color theme="1"/>
        <rFont val="宋体"/>
        <charset val="134"/>
        <scheme val="minor"/>
      </rPr>
      <t>14语音模块</t>
    </r>
    <r>
      <rPr>
        <sz val="14"/>
        <color rgb="FFFF0000"/>
        <rFont val="宋体"/>
        <charset val="134"/>
        <scheme val="minor"/>
      </rPr>
      <t>X1</t>
    </r>
  </si>
  <si>
    <t>KF2510-5</t>
  </si>
  <si>
    <t>P38</t>
  </si>
  <si>
    <t>C13, C14</t>
  </si>
  <si>
    <t>语音模块</t>
  </si>
  <si>
    <t>sc8065B</t>
  </si>
  <si>
    <t>U7</t>
  </si>
  <si>
    <t>DC圆口电源座5.5X2.1</t>
  </si>
  <si>
    <t>P39</t>
  </si>
  <si>
    <r>
      <rPr>
        <sz val="14"/>
        <color theme="1"/>
        <rFont val="宋体"/>
        <charset val="134"/>
        <scheme val="minor"/>
      </rPr>
      <t>15主板</t>
    </r>
    <r>
      <rPr>
        <sz val="14"/>
        <color rgb="FFFF0000"/>
        <rFont val="宋体"/>
        <charset val="134"/>
        <scheme val="minor"/>
      </rPr>
      <t>X1</t>
    </r>
  </si>
  <si>
    <t>2.54-8PIN排针</t>
  </si>
  <si>
    <t>P40,P41，P42，P62</t>
  </si>
  <si>
    <t>2.54-4PIN排针</t>
  </si>
  <si>
    <t>P43，P44,P45,P46,
P47,P48,P49,P50</t>
  </si>
  <si>
    <t>2.54-14PIN排针</t>
  </si>
  <si>
    <t>P51,P52,P53</t>
  </si>
  <si>
    <t>2.54-3PIN排针</t>
  </si>
  <si>
    <t>P54,P55,P56,P57,P58</t>
  </si>
  <si>
    <t>2.54-7PIN排针</t>
  </si>
  <si>
    <t>P59</t>
  </si>
  <si>
    <t>2.54-6PIN排针</t>
  </si>
  <si>
    <t>P60</t>
  </si>
  <si>
    <t>2.54-10PIN排针</t>
  </si>
  <si>
    <t>P61</t>
  </si>
  <si>
    <t>2.54-15PIN排母</t>
  </si>
  <si>
    <t>P15A,P16A</t>
  </si>
  <si>
    <t>轻触按键</t>
  </si>
  <si>
    <t>P63</t>
  </si>
  <si>
    <t xml:space="preserve">6*6*4.3
</t>
  </si>
  <si>
    <t>330UF 25V</t>
  </si>
  <si>
    <r>
      <rPr>
        <sz val="14"/>
        <color rgb="FFFF0000"/>
        <rFont val="Microsoft Sans Serif"/>
        <charset val="134"/>
      </rPr>
      <t>C5</t>
    </r>
    <r>
      <rPr>
        <sz val="14"/>
        <color rgb="FFFF0000"/>
        <rFont val="宋体"/>
        <charset val="134"/>
      </rPr>
      <t>，</t>
    </r>
    <r>
      <rPr>
        <sz val="14"/>
        <color rgb="FFFF0000"/>
        <rFont val="Microsoft Sans Serif"/>
        <charset val="134"/>
      </rPr>
      <t>C6</t>
    </r>
  </si>
  <si>
    <t>SMD,8x10.2mm</t>
  </si>
  <si>
    <t>主板</t>
  </si>
  <si>
    <t>C15, C16,C17,C18</t>
  </si>
  <si>
    <t>0603-R</t>
  </si>
  <si>
    <t>SS34</t>
  </si>
  <si>
    <t>D6</t>
  </si>
  <si>
    <t>sma - duplicate</t>
  </si>
  <si>
    <t>330uh</t>
  </si>
  <si>
    <t>L2</t>
  </si>
  <si>
    <t>330</t>
  </si>
  <si>
    <t>LED1</t>
  </si>
  <si>
    <t>10k 5%(103)</t>
  </si>
  <si>
    <t>R24</t>
  </si>
  <si>
    <t>16.2k  1%(21C)</t>
  </si>
  <si>
    <t>R25</t>
  </si>
  <si>
    <t>5.1k 1%</t>
  </si>
  <si>
    <t>R26</t>
  </si>
  <si>
    <t>AMS1117 3.3v</t>
  </si>
  <si>
    <t>SOT223</t>
  </si>
  <si>
    <t>tps5420</t>
  </si>
  <si>
    <t>U11</t>
  </si>
  <si>
    <t>型号</t>
  </si>
  <si>
    <t>位号</t>
  </si>
  <si>
    <t>封装</t>
  </si>
  <si>
    <t xml:space="preserve">单机数量 </t>
  </si>
  <si>
    <t>采购数量</t>
  </si>
  <si>
    <t>备注</t>
  </si>
  <si>
    <t>LED-G5mm</t>
  </si>
  <si>
    <t>1*2</t>
  </si>
  <si>
    <t>LED-Y5mm</t>
  </si>
  <si>
    <t>LED-R5mm</t>
  </si>
  <si>
    <r>
      <rPr>
        <sz val="11"/>
        <color rgb="FF0000FF"/>
        <rFont val="Microsoft Sans Serif"/>
        <charset val="134"/>
      </rPr>
      <t>04</t>
    </r>
    <r>
      <rPr>
        <sz val="11"/>
        <color rgb="FF0000FF"/>
        <rFont val="宋体"/>
        <charset val="134"/>
      </rPr>
      <t>避障模块</t>
    </r>
  </si>
  <si>
    <t>10红外遥控模块</t>
  </si>
  <si>
    <t>13寻迹模块</t>
  </si>
  <si>
    <t>03按键模块</t>
  </si>
  <si>
    <t>09光敏电阻模块</t>
  </si>
  <si>
    <t>07电位器模块</t>
  </si>
  <si>
    <t>08蜂鸣器模块</t>
  </si>
  <si>
    <t>11温度模块</t>
  </si>
  <si>
    <t>12小马达模块</t>
  </si>
  <si>
    <t>14语音模块</t>
  </si>
  <si>
    <t>15主板</t>
  </si>
  <si>
    <t>每套数量</t>
  </si>
  <si>
    <t>电阻</t>
  </si>
  <si>
    <t>01LED灯模块</t>
  </si>
  <si>
    <t>3*2</t>
  </si>
  <si>
    <r>
      <rPr>
        <sz val="11"/>
        <color rgb="FF2B1CFA"/>
        <rFont val="Microsoft Sans Serif"/>
        <charset val="134"/>
      </rPr>
      <t>04</t>
    </r>
    <r>
      <rPr>
        <sz val="11"/>
        <color rgb="FF2B1CFA"/>
        <rFont val="宋体"/>
        <charset val="134"/>
      </rPr>
      <t>避障模块</t>
    </r>
  </si>
  <si>
    <t>2*2</t>
  </si>
  <si>
    <t>电容</t>
  </si>
  <si>
    <t>IC</t>
  </si>
  <si>
    <r>
      <rPr>
        <sz val="11"/>
        <color rgb="FF0000FF"/>
        <rFont val="Microsoft Sans Serif"/>
        <charset val="134"/>
      </rPr>
      <t>04</t>
    </r>
    <r>
      <rPr>
        <sz val="11"/>
        <color rgb="FF0000FF"/>
        <rFont val="宋体"/>
        <charset val="134"/>
      </rPr>
      <t>避障模块</t>
    </r>
    <r>
      <rPr>
        <sz val="11"/>
        <color rgb="FF0000FF"/>
        <rFont val="Microsoft Sans Serif"/>
        <charset val="134"/>
      </rPr>
      <t>0.30</t>
    </r>
  </si>
  <si>
    <t>二极管</t>
  </si>
  <si>
    <t>蜂鸣器模块0.15</t>
  </si>
  <si>
    <t>主板0.28</t>
  </si>
  <si>
    <t>三极管</t>
  </si>
  <si>
    <t>J3Y-8050</t>
  </si>
  <si>
    <t>蜂鸣器模块0.06</t>
  </si>
  <si>
    <t>其它</t>
  </si>
  <si>
    <t>6*6*4.3</t>
  </si>
  <si>
    <t>采购数量 （200套）</t>
  </si>
  <si>
    <t>插座</t>
  </si>
  <si>
    <t xml:space="preserve">P2*3 P8*2 P11*2 P22 P24  P29 P31 P33 </t>
  </si>
  <si>
    <t>P6*2 P14 P25*2 P34*2</t>
  </si>
  <si>
    <t>排针</t>
  </si>
  <si>
    <t>PIN</t>
  </si>
  <si>
    <t>数量</t>
  </si>
  <si>
    <t>合计</t>
  </si>
  <si>
    <t>200套</t>
  </si>
  <si>
    <t>黑色</t>
  </si>
  <si>
    <t>排母</t>
  </si>
  <si>
    <t>见备注后</t>
  </si>
  <si>
    <t>红色</t>
  </si>
  <si>
    <t>黄色</t>
  </si>
  <si>
    <t>2.54-15PIN排针</t>
  </si>
  <si>
    <t>暂时不用了</t>
  </si>
  <si>
    <t>蓝色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</si>
</sst>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2B1CFA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4"/>
      <color rgb="FF0000FF"/>
      <name val="Microsoft Sans Serif"/>
      <charset val="134"/>
    </font>
    <font>
      <sz val="14"/>
      <color indexed="12"/>
      <name val="Microsoft Sans Serif"/>
      <charset val="134"/>
    </font>
    <font>
      <sz val="11"/>
      <color rgb="FF0000FF"/>
      <name val="Microsoft Sans Serif"/>
      <charset val="134"/>
    </font>
    <font>
      <sz val="14"/>
      <color indexed="12"/>
      <name val="宋体"/>
      <charset val="134"/>
    </font>
    <font>
      <sz val="12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2B1CFA"/>
      <name val="Microsoft Sans Serif"/>
      <charset val="134"/>
    </font>
    <font>
      <sz val="11"/>
      <color rgb="FF2B1CFA"/>
      <name val="Microsoft Sans Serif"/>
      <charset val="134"/>
    </font>
    <font>
      <sz val="14"/>
      <color rgb="FFFF0000"/>
      <name val="Microsoft Sans Serif"/>
      <charset val="134"/>
    </font>
    <font>
      <sz val="11"/>
      <color rgb="FFFF0000"/>
      <name val="宋体"/>
      <charset val="134"/>
    </font>
    <font>
      <sz val="11"/>
      <color rgb="FF2B1CFA"/>
      <name val="宋体"/>
      <charset val="134"/>
    </font>
    <font>
      <sz val="14"/>
      <color rgb="FF2B1CFA"/>
      <name val="宋体"/>
      <charset val="134"/>
      <scheme val="minor"/>
    </font>
    <font>
      <sz val="14"/>
      <color rgb="FFFF0000"/>
      <name val="宋体"/>
      <charset val="134"/>
    </font>
    <font>
      <sz val="22"/>
      <color theme="1"/>
      <name val="宋体"/>
      <charset val="134"/>
      <scheme val="minor"/>
    </font>
    <font>
      <b/>
      <sz val="12"/>
      <color rgb="FF000000"/>
      <name val="Segoe UI"/>
      <charset val="134"/>
    </font>
    <font>
      <b/>
      <sz val="12"/>
      <color indexed="8"/>
      <name val="Microsoft Sans Serif"/>
      <charset val="134"/>
    </font>
    <font>
      <b/>
      <sz val="12"/>
      <color indexed="8"/>
      <name val="宋体"/>
      <charset val="134"/>
    </font>
    <font>
      <sz val="14"/>
      <color indexed="8"/>
      <name val="宋体"/>
      <charset val="134"/>
    </font>
    <font>
      <sz val="11"/>
      <color rgb="FFFF0000"/>
      <name val="Microsoft Sans Serif"/>
      <charset val="134"/>
    </font>
    <font>
      <sz val="14"/>
      <color indexed="8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0000FF"/>
      <name val="宋体"/>
      <charset val="134"/>
    </font>
    <font>
      <sz val="11"/>
      <color rgb="FF0000FF"/>
      <name val="宋体"/>
      <charset val="134"/>
    </font>
    <font>
      <b/>
      <sz val="12"/>
      <color rgb="FF0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B1CFA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/>
      <top style="thin">
        <color indexed="20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7" fillId="21" borderId="21" applyNumberFormat="0" applyAlignment="0" applyProtection="0">
      <alignment vertical="center"/>
    </xf>
    <xf numFmtId="0" fontId="38" fillId="21" borderId="17" applyNumberFormat="0" applyAlignment="0" applyProtection="0">
      <alignment vertical="center"/>
    </xf>
    <xf numFmtId="0" fontId="39" fillId="22" borderId="22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3" borderId="2" xfId="0" applyFont="1" applyFill="1" applyBorder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5" borderId="2" xfId="0" applyFill="1" applyBorder="1">
      <alignment vertical="center"/>
    </xf>
    <xf numFmtId="0" fontId="0" fillId="2" borderId="2" xfId="0" applyFill="1" applyBorder="1">
      <alignment vertical="center"/>
    </xf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6" borderId="2" xfId="0" applyFont="1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4" borderId="1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 wrapText="1"/>
    </xf>
    <xf numFmtId="0" fontId="6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vertical="center"/>
    </xf>
    <xf numFmtId="0" fontId="0" fillId="4" borderId="2" xfId="0" applyFont="1" applyFill="1" applyBorder="1">
      <alignment vertical="center"/>
    </xf>
    <xf numFmtId="0" fontId="6" fillId="4" borderId="4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 vertical="center"/>
    </xf>
    <xf numFmtId="0" fontId="1" fillId="4" borderId="8" xfId="0" applyFont="1" applyFill="1" applyBorder="1">
      <alignment vertical="center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10" fillId="7" borderId="2" xfId="0" applyFont="1" applyFill="1" applyBorder="1">
      <alignment vertical="center"/>
    </xf>
    <xf numFmtId="0" fontId="10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 wrapText="1"/>
    </xf>
    <xf numFmtId="0" fontId="11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left"/>
    </xf>
    <xf numFmtId="0" fontId="13" fillId="7" borderId="2" xfId="0" applyFont="1" applyFill="1" applyBorder="1" applyAlignment="1">
      <alignment horizontal="left" wrapText="1"/>
    </xf>
    <xf numFmtId="0" fontId="13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left"/>
    </xf>
    <xf numFmtId="0" fontId="15" fillId="7" borderId="2" xfId="0" applyFont="1" applyFill="1" applyBorder="1" applyAlignment="1">
      <alignment horizontal="left"/>
    </xf>
    <xf numFmtId="0" fontId="16" fillId="7" borderId="2" xfId="0" applyFont="1" applyFill="1" applyBorder="1">
      <alignment vertical="center"/>
    </xf>
    <xf numFmtId="0" fontId="16" fillId="7" borderId="2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/>
    </xf>
    <xf numFmtId="0" fontId="13" fillId="7" borderId="5" xfId="0" applyFont="1" applyFill="1" applyBorder="1" applyAlignment="1">
      <alignment horizontal="left" wrapText="1"/>
    </xf>
    <xf numFmtId="0" fontId="13" fillId="7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10" fillId="7" borderId="1" xfId="0" applyFont="1" applyFill="1" applyBorder="1">
      <alignment vertical="center"/>
    </xf>
    <xf numFmtId="0" fontId="14" fillId="7" borderId="6" xfId="0" applyFont="1" applyFill="1" applyBorder="1" applyAlignment="1">
      <alignment horizontal="left"/>
    </xf>
    <xf numFmtId="0" fontId="13" fillId="8" borderId="4" xfId="0" applyFont="1" applyFill="1" applyBorder="1" applyAlignment="1">
      <alignment horizontal="left"/>
    </xf>
    <xf numFmtId="0" fontId="13" fillId="8" borderId="5" xfId="0" applyFont="1" applyFill="1" applyBorder="1" applyAlignment="1">
      <alignment horizontal="left" wrapText="1"/>
    </xf>
    <xf numFmtId="0" fontId="13" fillId="8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left"/>
    </xf>
    <xf numFmtId="0" fontId="17" fillId="7" borderId="4" xfId="0" applyFont="1" applyFill="1" applyBorder="1" applyAlignment="1">
      <alignment horizontal="left"/>
    </xf>
    <xf numFmtId="0" fontId="13" fillId="7" borderId="9" xfId="0" applyFont="1" applyFill="1" applyBorder="1" applyAlignment="1">
      <alignment horizontal="left"/>
    </xf>
    <xf numFmtId="0" fontId="13" fillId="7" borderId="10" xfId="0" applyFont="1" applyFill="1" applyBorder="1" applyAlignment="1">
      <alignment horizontal="left" wrapText="1"/>
    </xf>
    <xf numFmtId="0" fontId="13" fillId="7" borderId="11" xfId="0" applyFont="1" applyFill="1" applyBorder="1" applyAlignment="1">
      <alignment horizontal="center"/>
    </xf>
    <xf numFmtId="0" fontId="4" fillId="0" borderId="2" xfId="0" applyFont="1" applyBorder="1">
      <alignment vertical="center"/>
    </xf>
    <xf numFmtId="0" fontId="13" fillId="7" borderId="4" xfId="0" applyFont="1" applyFill="1" applyBorder="1" applyAlignment="1">
      <alignment horizontal="left" wrapText="1"/>
    </xf>
    <xf numFmtId="0" fontId="13" fillId="7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9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1" fillId="4" borderId="2" xfId="0" applyFont="1" applyFill="1" applyBorder="1">
      <alignment vertical="center"/>
    </xf>
    <xf numFmtId="0" fontId="1" fillId="4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0" fillId="7" borderId="3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0" fillId="7" borderId="15" xfId="0" applyFont="1" applyFill="1" applyBorder="1">
      <alignment vertical="center"/>
    </xf>
    <xf numFmtId="0" fontId="10" fillId="7" borderId="13" xfId="0" applyFont="1" applyFill="1" applyBorder="1">
      <alignment vertical="center"/>
    </xf>
    <xf numFmtId="0" fontId="10" fillId="7" borderId="16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13" fillId="7" borderId="5" xfId="0" applyFont="1" applyFill="1" applyBorder="1" applyAlignment="1">
      <alignment horizontal="left"/>
    </xf>
    <xf numFmtId="0" fontId="13" fillId="7" borderId="6" xfId="0" applyFont="1" applyFill="1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>
      <alignment vertical="center"/>
    </xf>
    <xf numFmtId="0" fontId="17" fillId="2" borderId="4" xfId="0" applyFont="1" applyFill="1" applyBorder="1" applyAlignment="1">
      <alignment horizontal="left"/>
    </xf>
    <xf numFmtId="0" fontId="10" fillId="2" borderId="0" xfId="0" applyFont="1" applyFill="1" applyBorder="1" applyAlignment="1">
      <alignment vertical="center"/>
    </xf>
    <xf numFmtId="0" fontId="13" fillId="8" borderId="5" xfId="0" applyFont="1" applyFill="1" applyBorder="1" applyAlignment="1">
      <alignment horizontal="left"/>
    </xf>
    <xf numFmtId="0" fontId="13" fillId="8" borderId="6" xfId="0" applyFont="1" applyFill="1" applyBorder="1" applyAlignment="1">
      <alignment horizontal="left"/>
    </xf>
    <xf numFmtId="0" fontId="13" fillId="7" borderId="10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left"/>
    </xf>
    <xf numFmtId="0" fontId="19" fillId="10" borderId="8" xfId="0" applyFont="1" applyFill="1" applyBorder="1" applyAlignment="1" quotePrefix="1">
      <alignment horizontal="center" vertical="center"/>
    </xf>
    <xf numFmtId="0" fontId="19" fillId="10" borderId="7" xfId="0" applyFont="1" applyFill="1" applyBorder="1" applyAlignment="1" quotePrefix="1">
      <alignment horizontal="center" vertical="center" wrapText="1"/>
    </xf>
    <xf numFmtId="0" fontId="19" fillId="10" borderId="7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66FF"/>
      <color rgb="002B1C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"/>
  <sheetViews>
    <sheetView tabSelected="1" zoomScale="70" zoomScaleNormal="70" topLeftCell="A13" workbookViewId="0">
      <selection activeCell="B14" sqref="B14"/>
    </sheetView>
  </sheetViews>
  <sheetFormatPr defaultColWidth="9" defaultRowHeight="14.4"/>
  <cols>
    <col min="1" max="1" width="3.44444444444444" customWidth="1"/>
    <col min="2" max="2" width="24" customWidth="1"/>
    <col min="3" max="3" width="27" customWidth="1"/>
    <col min="4" max="4" width="23.1111111111111" customWidth="1"/>
    <col min="5" max="5" width="18.1111111111111" style="92" customWidth="1"/>
    <col min="6" max="6" width="22.5555555555556" style="92" customWidth="1"/>
    <col min="10" max="15" width="21.5833333333333" customWidth="1"/>
  </cols>
  <sheetData>
    <row r="1" ht="28.2" spans="2:6">
      <c r="B1" s="93" t="s">
        <v>0</v>
      </c>
      <c r="C1" s="94"/>
      <c r="D1" s="94"/>
      <c r="E1" s="95"/>
      <c r="F1" s="95"/>
    </row>
    <row r="2" ht="38.25" customHeight="1" spans="1:6">
      <c r="A2" s="9" t="s">
        <v>1</v>
      </c>
      <c r="B2" s="140" t="s">
        <v>2</v>
      </c>
      <c r="C2" s="141" t="s">
        <v>3</v>
      </c>
      <c r="D2" s="142" t="s">
        <v>4</v>
      </c>
      <c r="E2" s="99" t="s">
        <v>5</v>
      </c>
      <c r="F2" s="100" t="s">
        <v>6</v>
      </c>
    </row>
    <row r="3" ht="17.4" spans="1:7">
      <c r="A3" s="5">
        <v>1</v>
      </c>
      <c r="B3" s="26" t="s">
        <v>7</v>
      </c>
      <c r="C3" s="101" t="s">
        <v>8</v>
      </c>
      <c r="D3" s="101" t="s">
        <v>9</v>
      </c>
      <c r="E3" s="102" t="s">
        <v>10</v>
      </c>
      <c r="F3" s="102" t="s">
        <v>11</v>
      </c>
      <c r="G3" s="70"/>
    </row>
    <row r="4" ht="17.4" spans="1:7">
      <c r="A4" s="5"/>
      <c r="B4" s="26" t="s">
        <v>12</v>
      </c>
      <c r="C4" s="101" t="s">
        <v>13</v>
      </c>
      <c r="D4" s="101" t="s">
        <v>14</v>
      </c>
      <c r="E4" s="102" t="s">
        <v>10</v>
      </c>
      <c r="F4" s="102" t="s">
        <v>11</v>
      </c>
      <c r="G4" s="70"/>
    </row>
    <row r="5" s="88" customFormat="1" ht="17.4" spans="1:7">
      <c r="A5" s="5"/>
      <c r="B5" s="74" t="s">
        <v>15</v>
      </c>
      <c r="C5" s="47" t="s">
        <v>16</v>
      </c>
      <c r="D5" s="47" t="s">
        <v>17</v>
      </c>
      <c r="E5" s="103" t="s">
        <v>10</v>
      </c>
      <c r="F5" s="103" t="s">
        <v>18</v>
      </c>
      <c r="G5" s="104"/>
    </row>
    <row r="6" s="89" customFormat="1" ht="17.4" spans="1:7">
      <c r="A6" s="105">
        <v>2</v>
      </c>
      <c r="B6" s="26" t="s">
        <v>19</v>
      </c>
      <c r="C6" s="101" t="s">
        <v>20</v>
      </c>
      <c r="D6" s="101" t="s">
        <v>14</v>
      </c>
      <c r="E6" s="106">
        <v>1</v>
      </c>
      <c r="F6" s="106" t="s">
        <v>21</v>
      </c>
      <c r="G6" s="107"/>
    </row>
    <row r="7" ht="17.4" spans="1:7">
      <c r="A7" s="105"/>
      <c r="B7" s="26" t="s">
        <v>22</v>
      </c>
      <c r="C7" s="101" t="s">
        <v>23</v>
      </c>
      <c r="D7" s="101" t="s">
        <v>9</v>
      </c>
      <c r="E7" s="106">
        <v>1</v>
      </c>
      <c r="F7" s="106" t="s">
        <v>21</v>
      </c>
      <c r="G7" s="70"/>
    </row>
    <row r="8" ht="17.4" spans="1:7">
      <c r="A8" s="105"/>
      <c r="B8" s="26" t="s">
        <v>24</v>
      </c>
      <c r="C8" s="101" t="s">
        <v>25</v>
      </c>
      <c r="D8" s="101" t="s">
        <v>9</v>
      </c>
      <c r="E8" s="106">
        <v>1</v>
      </c>
      <c r="F8" s="106" t="s">
        <v>21</v>
      </c>
      <c r="G8" s="70"/>
    </row>
    <row r="9" ht="17.4" spans="1:7">
      <c r="A9" s="105"/>
      <c r="B9" s="26" t="s">
        <v>26</v>
      </c>
      <c r="C9" s="101" t="s">
        <v>27</v>
      </c>
      <c r="D9" s="101" t="s">
        <v>9</v>
      </c>
      <c r="E9" s="106">
        <v>1</v>
      </c>
      <c r="F9" s="106" t="s">
        <v>21</v>
      </c>
      <c r="G9" s="70"/>
    </row>
    <row r="10" s="90" customFormat="1" ht="17.4" spans="1:10">
      <c r="A10" s="105"/>
      <c r="B10" s="74" t="s">
        <v>28</v>
      </c>
      <c r="C10" s="47" t="s">
        <v>29</v>
      </c>
      <c r="D10" s="47" t="s">
        <v>17</v>
      </c>
      <c r="E10" s="108">
        <v>3</v>
      </c>
      <c r="F10" s="109" t="s">
        <v>21</v>
      </c>
      <c r="G10" s="70"/>
      <c r="H10"/>
      <c r="I10"/>
      <c r="J10"/>
    </row>
    <row r="11" ht="17.4" spans="1:7">
      <c r="A11" s="110">
        <v>3</v>
      </c>
      <c r="B11" s="26" t="s">
        <v>30</v>
      </c>
      <c r="C11" s="101" t="s">
        <v>31</v>
      </c>
      <c r="D11" s="101" t="s">
        <v>32</v>
      </c>
      <c r="E11" s="102">
        <v>1</v>
      </c>
      <c r="F11" s="101" t="s">
        <v>33</v>
      </c>
      <c r="G11" s="70"/>
    </row>
    <row r="12" ht="17.4" spans="1:7">
      <c r="A12" s="111"/>
      <c r="B12" s="26" t="s">
        <v>34</v>
      </c>
      <c r="C12" s="101" t="s">
        <v>35</v>
      </c>
      <c r="D12" s="101"/>
      <c r="E12" s="102"/>
      <c r="F12" s="101" t="s">
        <v>33</v>
      </c>
      <c r="G12" s="70"/>
    </row>
    <row r="13" ht="17.4" spans="1:7">
      <c r="A13" s="111"/>
      <c r="B13" s="26" t="s">
        <v>12</v>
      </c>
      <c r="C13" s="101" t="s">
        <v>36</v>
      </c>
      <c r="D13" s="101" t="s">
        <v>14</v>
      </c>
      <c r="E13" s="106">
        <v>1</v>
      </c>
      <c r="F13" s="101" t="s">
        <v>33</v>
      </c>
      <c r="G13" s="70"/>
    </row>
    <row r="14" s="90" customFormat="1" ht="17.4" spans="1:11">
      <c r="A14" s="112"/>
      <c r="B14" s="113" t="s">
        <v>37</v>
      </c>
      <c r="C14" s="114" t="s">
        <v>38</v>
      </c>
      <c r="D14" s="114" t="s">
        <v>17</v>
      </c>
      <c r="E14" s="115">
        <v>1</v>
      </c>
      <c r="F14" s="103" t="s">
        <v>39</v>
      </c>
      <c r="G14" s="70"/>
      <c r="H14"/>
      <c r="I14"/>
      <c r="J14"/>
      <c r="K14"/>
    </row>
    <row r="15" ht="18" spans="1:7">
      <c r="A15" s="110">
        <v>4</v>
      </c>
      <c r="B15" s="29" t="s">
        <v>40</v>
      </c>
      <c r="C15" s="116" t="s">
        <v>41</v>
      </c>
      <c r="D15" s="116" t="s">
        <v>9</v>
      </c>
      <c r="E15" s="117">
        <v>1</v>
      </c>
      <c r="F15" s="117" t="s">
        <v>42</v>
      </c>
      <c r="G15" s="70"/>
    </row>
    <row r="16" ht="18" spans="1:7">
      <c r="A16" s="111"/>
      <c r="B16" s="33" t="s">
        <v>43</v>
      </c>
      <c r="C16" s="116" t="s">
        <v>44</v>
      </c>
      <c r="D16" s="116" t="s">
        <v>9</v>
      </c>
      <c r="E16" s="117">
        <v>1</v>
      </c>
      <c r="F16" s="117" t="s">
        <v>42</v>
      </c>
      <c r="G16" s="70"/>
    </row>
    <row r="17" ht="18" spans="1:7">
      <c r="A17" s="111"/>
      <c r="B17" s="36" t="s">
        <v>12</v>
      </c>
      <c r="C17" s="116" t="s">
        <v>45</v>
      </c>
      <c r="D17" s="116" t="s">
        <v>46</v>
      </c>
      <c r="E17" s="117">
        <v>1</v>
      </c>
      <c r="F17" s="117" t="s">
        <v>42</v>
      </c>
      <c r="G17" s="70"/>
    </row>
    <row r="18" ht="18" spans="1:7">
      <c r="A18" s="111"/>
      <c r="B18" s="36" t="s">
        <v>47</v>
      </c>
      <c r="C18" s="116" t="s">
        <v>48</v>
      </c>
      <c r="D18" s="116" t="s">
        <v>9</v>
      </c>
      <c r="E18" s="117">
        <v>1</v>
      </c>
      <c r="F18" s="117" t="s">
        <v>42</v>
      </c>
      <c r="G18" s="70"/>
    </row>
    <row r="19" s="88" customFormat="1" ht="18" spans="1:14">
      <c r="A19" s="111"/>
      <c r="B19" s="66" t="s">
        <v>49</v>
      </c>
      <c r="C19" s="118" t="s">
        <v>50</v>
      </c>
      <c r="D19" s="118" t="s">
        <v>17</v>
      </c>
      <c r="E19" s="119">
        <v>2</v>
      </c>
      <c r="F19" s="119" t="s">
        <v>51</v>
      </c>
      <c r="G19" s="104"/>
      <c r="J19" s="66" t="s">
        <v>49</v>
      </c>
      <c r="K19" s="118" t="s">
        <v>50</v>
      </c>
      <c r="L19" s="118" t="s">
        <v>17</v>
      </c>
      <c r="M19" s="119">
        <v>2</v>
      </c>
      <c r="N19" s="119" t="s">
        <v>51</v>
      </c>
    </row>
    <row r="20" s="88" customFormat="1" ht="18" spans="1:14">
      <c r="A20" s="111"/>
      <c r="B20" s="80" t="s">
        <v>52</v>
      </c>
      <c r="C20" s="118" t="s">
        <v>53</v>
      </c>
      <c r="D20" s="118" t="s">
        <v>54</v>
      </c>
      <c r="E20" s="119">
        <v>2</v>
      </c>
      <c r="F20" s="119" t="s">
        <v>51</v>
      </c>
      <c r="G20" s="104"/>
      <c r="J20" s="80" t="s">
        <v>52</v>
      </c>
      <c r="K20" s="118" t="s">
        <v>53</v>
      </c>
      <c r="L20" s="118" t="s">
        <v>54</v>
      </c>
      <c r="M20" s="119">
        <v>2</v>
      </c>
      <c r="N20" s="119" t="s">
        <v>51</v>
      </c>
    </row>
    <row r="21" s="88" customFormat="1" ht="18" spans="1:14">
      <c r="A21" s="111"/>
      <c r="B21" s="66" t="s">
        <v>55</v>
      </c>
      <c r="C21" s="118" t="s">
        <v>56</v>
      </c>
      <c r="D21" s="118" t="s">
        <v>17</v>
      </c>
      <c r="E21" s="119">
        <v>1</v>
      </c>
      <c r="F21" s="119" t="s">
        <v>51</v>
      </c>
      <c r="G21" s="104"/>
      <c r="J21" s="66" t="s">
        <v>55</v>
      </c>
      <c r="K21" s="118" t="s">
        <v>56</v>
      </c>
      <c r="L21" s="118" t="s">
        <v>17</v>
      </c>
      <c r="M21" s="119">
        <v>1</v>
      </c>
      <c r="N21" s="119" t="s">
        <v>51</v>
      </c>
    </row>
    <row r="22" s="88" customFormat="1" ht="18" spans="1:14">
      <c r="A22" s="111"/>
      <c r="B22" s="66" t="s">
        <v>57</v>
      </c>
      <c r="C22" s="118" t="s">
        <v>58</v>
      </c>
      <c r="D22" s="118" t="s">
        <v>17</v>
      </c>
      <c r="E22" s="119">
        <v>2</v>
      </c>
      <c r="F22" s="119" t="s">
        <v>51</v>
      </c>
      <c r="G22" s="104"/>
      <c r="J22" s="66" t="s">
        <v>57</v>
      </c>
      <c r="K22" s="118" t="s">
        <v>58</v>
      </c>
      <c r="L22" s="118" t="s">
        <v>17</v>
      </c>
      <c r="M22" s="119">
        <v>2</v>
      </c>
      <c r="N22" s="119" t="s">
        <v>51</v>
      </c>
    </row>
    <row r="23" s="88" customFormat="1" ht="18" spans="1:14">
      <c r="A23" s="111"/>
      <c r="B23" s="66" t="s">
        <v>59</v>
      </c>
      <c r="C23" s="118" t="s">
        <v>60</v>
      </c>
      <c r="D23" s="118" t="s">
        <v>17</v>
      </c>
      <c r="E23" s="119">
        <v>2</v>
      </c>
      <c r="F23" s="119" t="s">
        <v>51</v>
      </c>
      <c r="G23" s="104"/>
      <c r="J23" s="66" t="s">
        <v>59</v>
      </c>
      <c r="K23" s="118" t="s">
        <v>60</v>
      </c>
      <c r="L23" s="118" t="s">
        <v>17</v>
      </c>
      <c r="M23" s="119">
        <v>2</v>
      </c>
      <c r="N23" s="119" t="s">
        <v>51</v>
      </c>
    </row>
    <row r="24" s="88" customFormat="1" ht="18" spans="1:14">
      <c r="A24" s="120"/>
      <c r="B24" s="66" t="s">
        <v>61</v>
      </c>
      <c r="C24" s="118" t="s">
        <v>62</v>
      </c>
      <c r="D24" s="118" t="s">
        <v>63</v>
      </c>
      <c r="E24" s="119">
        <v>1</v>
      </c>
      <c r="F24" s="119" t="s">
        <v>51</v>
      </c>
      <c r="G24" s="104"/>
      <c r="J24" s="66" t="s">
        <v>61</v>
      </c>
      <c r="K24" s="118" t="s">
        <v>62</v>
      </c>
      <c r="L24" s="118" t="s">
        <v>63</v>
      </c>
      <c r="M24" s="119">
        <v>1</v>
      </c>
      <c r="N24" s="119" t="s">
        <v>51</v>
      </c>
    </row>
    <row r="25" ht="17.4" spans="1:7">
      <c r="A25" s="110">
        <v>5</v>
      </c>
      <c r="B25" s="26" t="s">
        <v>64</v>
      </c>
      <c r="C25" s="101" t="s">
        <v>65</v>
      </c>
      <c r="D25" s="101" t="s">
        <v>9</v>
      </c>
      <c r="E25" s="102">
        <v>1</v>
      </c>
      <c r="F25" s="102" t="s">
        <v>66</v>
      </c>
      <c r="G25" s="70"/>
    </row>
    <row r="26" ht="17.4" spans="1:7">
      <c r="A26" s="120"/>
      <c r="B26" s="26" t="s">
        <v>19</v>
      </c>
      <c r="C26" s="101" t="s">
        <v>67</v>
      </c>
      <c r="D26" s="101" t="s">
        <v>14</v>
      </c>
      <c r="E26" s="102">
        <v>1</v>
      </c>
      <c r="F26" s="102" t="s">
        <v>66</v>
      </c>
      <c r="G26" s="70"/>
    </row>
    <row r="27" ht="17.4" spans="1:14">
      <c r="A27" s="110">
        <v>15</v>
      </c>
      <c r="B27" s="121" t="s">
        <v>68</v>
      </c>
      <c r="C27" s="122" t="s">
        <v>69</v>
      </c>
      <c r="D27" s="122" t="s">
        <v>9</v>
      </c>
      <c r="E27" s="123">
        <v>2</v>
      </c>
      <c r="F27" s="124" t="s">
        <v>70</v>
      </c>
      <c r="G27" s="70"/>
      <c r="J27" s="74" t="s">
        <v>49</v>
      </c>
      <c r="K27" s="47" t="s">
        <v>71</v>
      </c>
      <c r="L27" s="47" t="s">
        <v>17</v>
      </c>
      <c r="M27" s="103">
        <v>2</v>
      </c>
      <c r="N27" s="103" t="s">
        <v>72</v>
      </c>
    </row>
    <row r="28" ht="17.4" spans="1:14">
      <c r="A28" s="111"/>
      <c r="B28" s="121" t="s">
        <v>73</v>
      </c>
      <c r="C28" s="122" t="s">
        <v>74</v>
      </c>
      <c r="D28" s="122" t="s">
        <v>9</v>
      </c>
      <c r="E28" s="123">
        <v>4</v>
      </c>
      <c r="F28" s="125"/>
      <c r="G28" s="70"/>
      <c r="J28" s="74" t="s">
        <v>75</v>
      </c>
      <c r="K28" s="47" t="s">
        <v>76</v>
      </c>
      <c r="L28" s="47" t="s">
        <v>54</v>
      </c>
      <c r="M28" s="103">
        <v>2</v>
      </c>
      <c r="N28" s="103" t="s">
        <v>72</v>
      </c>
    </row>
    <row r="29" s="88" customFormat="1" ht="18" spans="1:14">
      <c r="A29" s="111"/>
      <c r="B29" s="126" t="s">
        <v>49</v>
      </c>
      <c r="C29" s="127" t="s">
        <v>77</v>
      </c>
      <c r="D29" s="127" t="s">
        <v>17</v>
      </c>
      <c r="E29" s="128">
        <v>2</v>
      </c>
      <c r="F29" s="129" t="s">
        <v>78</v>
      </c>
      <c r="G29" s="70"/>
      <c r="J29" s="74" t="s">
        <v>79</v>
      </c>
      <c r="K29" s="47" t="s">
        <v>80</v>
      </c>
      <c r="L29" s="47" t="s">
        <v>17</v>
      </c>
      <c r="M29" s="103">
        <v>1</v>
      </c>
      <c r="N29" s="103" t="s">
        <v>72</v>
      </c>
    </row>
    <row r="30" s="88" customFormat="1" ht="18" spans="1:14">
      <c r="A30" s="111"/>
      <c r="B30" s="130" t="s">
        <v>81</v>
      </c>
      <c r="C30" s="127" t="s">
        <v>82</v>
      </c>
      <c r="D30" s="127" t="s">
        <v>83</v>
      </c>
      <c r="E30" s="128">
        <v>2</v>
      </c>
      <c r="F30" s="131"/>
      <c r="G30" s="70"/>
      <c r="J30" s="74" t="s">
        <v>57</v>
      </c>
      <c r="K30" s="47" t="s">
        <v>84</v>
      </c>
      <c r="L30" s="47" t="s">
        <v>17</v>
      </c>
      <c r="M30" s="103">
        <v>2</v>
      </c>
      <c r="N30" s="103" t="s">
        <v>72</v>
      </c>
    </row>
    <row r="31" s="88" customFormat="1" ht="18" spans="1:14">
      <c r="A31" s="111"/>
      <c r="B31" s="126"/>
      <c r="C31" s="127" t="s">
        <v>85</v>
      </c>
      <c r="D31" s="127" t="s">
        <v>17</v>
      </c>
      <c r="E31" s="128">
        <v>1</v>
      </c>
      <c r="F31" s="131"/>
      <c r="G31" s="70"/>
      <c r="J31" s="74" t="s">
        <v>59</v>
      </c>
      <c r="K31" s="47" t="s">
        <v>86</v>
      </c>
      <c r="L31" s="47" t="s">
        <v>17</v>
      </c>
      <c r="M31" s="103">
        <v>2</v>
      </c>
      <c r="N31" s="103" t="s">
        <v>72</v>
      </c>
    </row>
    <row r="32" s="88" customFormat="1" ht="25.5" customHeight="1" spans="1:14">
      <c r="A32" s="111"/>
      <c r="B32" s="126" t="s">
        <v>87</v>
      </c>
      <c r="C32" s="127" t="s">
        <v>88</v>
      </c>
      <c r="D32" s="127" t="s">
        <v>17</v>
      </c>
      <c r="E32" s="128">
        <v>1</v>
      </c>
      <c r="F32" s="131"/>
      <c r="G32" s="70"/>
      <c r="J32" s="74" t="s">
        <v>89</v>
      </c>
      <c r="K32" s="47" t="s">
        <v>90</v>
      </c>
      <c r="L32" s="47" t="s">
        <v>63</v>
      </c>
      <c r="M32" s="103">
        <v>1</v>
      </c>
      <c r="N32" s="103" t="s">
        <v>72</v>
      </c>
    </row>
    <row r="33" s="88" customFormat="1" ht="18" spans="1:7">
      <c r="A33" s="120"/>
      <c r="B33" s="126" t="s">
        <v>91</v>
      </c>
      <c r="C33" s="127" t="s">
        <v>92</v>
      </c>
      <c r="D33" s="127" t="s">
        <v>93</v>
      </c>
      <c r="E33" s="128">
        <v>1</v>
      </c>
      <c r="F33" s="131"/>
      <c r="G33" s="70"/>
    </row>
    <row r="34" ht="18" spans="1:14">
      <c r="A34" s="110">
        <v>6</v>
      </c>
      <c r="B34" s="26" t="s">
        <v>94</v>
      </c>
      <c r="C34" s="101" t="s">
        <v>95</v>
      </c>
      <c r="D34" s="101" t="s">
        <v>9</v>
      </c>
      <c r="E34" s="102">
        <v>1</v>
      </c>
      <c r="F34" s="101" t="s">
        <v>96</v>
      </c>
      <c r="G34" s="70"/>
      <c r="J34" s="66" t="s">
        <v>97</v>
      </c>
      <c r="K34" s="118" t="s">
        <v>98</v>
      </c>
      <c r="L34" s="118" t="s">
        <v>17</v>
      </c>
      <c r="M34" s="119">
        <v>2</v>
      </c>
      <c r="N34" s="119" t="s">
        <v>99</v>
      </c>
    </row>
    <row r="35" ht="18" spans="1:14">
      <c r="A35" s="111"/>
      <c r="B35" s="26" t="s">
        <v>12</v>
      </c>
      <c r="C35" s="101" t="s">
        <v>100</v>
      </c>
      <c r="D35" s="101" t="s">
        <v>14</v>
      </c>
      <c r="E35" s="102">
        <v>1</v>
      </c>
      <c r="F35" s="101"/>
      <c r="G35" s="70"/>
      <c r="J35" s="80" t="s">
        <v>52</v>
      </c>
      <c r="K35" s="118" t="s">
        <v>101</v>
      </c>
      <c r="L35" s="118" t="s">
        <v>17</v>
      </c>
      <c r="M35" s="119">
        <v>2</v>
      </c>
      <c r="N35" s="119" t="s">
        <v>99</v>
      </c>
    </row>
    <row r="36" s="88" customFormat="1" ht="18" spans="1:14">
      <c r="A36" s="120"/>
      <c r="B36" s="74" t="s">
        <v>102</v>
      </c>
      <c r="C36" s="47" t="s">
        <v>103</v>
      </c>
      <c r="D36" s="47" t="s">
        <v>17</v>
      </c>
      <c r="E36" s="103">
        <v>1</v>
      </c>
      <c r="F36" s="109" t="s">
        <v>104</v>
      </c>
      <c r="G36" s="104"/>
      <c r="J36" s="66" t="s">
        <v>59</v>
      </c>
      <c r="K36" s="118" t="s">
        <v>105</v>
      </c>
      <c r="L36" s="118" t="s">
        <v>17</v>
      </c>
      <c r="M36" s="119">
        <v>2</v>
      </c>
      <c r="N36" s="119" t="s">
        <v>99</v>
      </c>
    </row>
    <row r="37" ht="18" spans="1:14">
      <c r="A37" s="110">
        <v>7</v>
      </c>
      <c r="B37" s="26" t="s">
        <v>106</v>
      </c>
      <c r="C37" s="101" t="s">
        <v>107</v>
      </c>
      <c r="D37" s="101" t="s">
        <v>9</v>
      </c>
      <c r="E37" s="102">
        <v>1</v>
      </c>
      <c r="F37" s="102" t="s">
        <v>108</v>
      </c>
      <c r="G37" s="70"/>
      <c r="J37" s="66" t="s">
        <v>57</v>
      </c>
      <c r="K37" s="118" t="s">
        <v>109</v>
      </c>
      <c r="L37" s="118" t="s">
        <v>17</v>
      </c>
      <c r="M37" s="119">
        <v>2</v>
      </c>
      <c r="N37" s="119" t="s">
        <v>99</v>
      </c>
    </row>
    <row r="38" ht="18" spans="1:14">
      <c r="A38" s="111"/>
      <c r="B38" s="26" t="s">
        <v>12</v>
      </c>
      <c r="C38" s="101" t="s">
        <v>110</v>
      </c>
      <c r="D38" s="101" t="s">
        <v>14</v>
      </c>
      <c r="E38" s="102">
        <v>1</v>
      </c>
      <c r="F38" s="102" t="s">
        <v>108</v>
      </c>
      <c r="G38" s="70"/>
      <c r="J38" s="66" t="s">
        <v>61</v>
      </c>
      <c r="K38" s="118" t="s">
        <v>111</v>
      </c>
      <c r="L38" s="118" t="s">
        <v>63</v>
      </c>
      <c r="M38" s="119">
        <v>1</v>
      </c>
      <c r="N38" s="119" t="s">
        <v>99</v>
      </c>
    </row>
    <row r="39" s="88" customFormat="1" ht="18" spans="1:7">
      <c r="A39" s="111"/>
      <c r="B39" s="66" t="s">
        <v>112</v>
      </c>
      <c r="C39" s="118" t="s">
        <v>113</v>
      </c>
      <c r="D39" s="118" t="s">
        <v>114</v>
      </c>
      <c r="E39" s="119">
        <v>1</v>
      </c>
      <c r="F39" s="119" t="s">
        <v>115</v>
      </c>
      <c r="G39" s="104"/>
    </row>
    <row r="40" s="88" customFormat="1" ht="18" spans="1:7">
      <c r="A40" s="111"/>
      <c r="B40" s="66" t="s">
        <v>116</v>
      </c>
      <c r="C40" s="118" t="s">
        <v>117</v>
      </c>
      <c r="D40" s="118" t="s">
        <v>118</v>
      </c>
      <c r="E40" s="119">
        <v>1</v>
      </c>
      <c r="F40" s="119" t="s">
        <v>115</v>
      </c>
      <c r="G40" s="104"/>
    </row>
    <row r="41" s="88" customFormat="1" ht="18" spans="1:7">
      <c r="A41" s="111"/>
      <c r="B41" s="66" t="s">
        <v>59</v>
      </c>
      <c r="C41" s="118" t="s">
        <v>119</v>
      </c>
      <c r="D41" s="118" t="s">
        <v>17</v>
      </c>
      <c r="E41" s="119">
        <v>1</v>
      </c>
      <c r="F41" s="119" t="s">
        <v>115</v>
      </c>
      <c r="G41" s="104"/>
    </row>
    <row r="42" s="88" customFormat="1" ht="18" spans="1:7">
      <c r="A42" s="120"/>
      <c r="B42" s="66" t="s">
        <v>120</v>
      </c>
      <c r="C42" s="118" t="s">
        <v>121</v>
      </c>
      <c r="D42" s="118" t="s">
        <v>17</v>
      </c>
      <c r="E42" s="119">
        <v>1</v>
      </c>
      <c r="F42" s="119" t="s">
        <v>115</v>
      </c>
      <c r="G42" s="104"/>
    </row>
    <row r="43" ht="17.4" spans="1:7">
      <c r="A43" s="110">
        <v>8</v>
      </c>
      <c r="B43" s="26" t="s">
        <v>19</v>
      </c>
      <c r="C43" s="101" t="s">
        <v>122</v>
      </c>
      <c r="D43" s="101" t="s">
        <v>14</v>
      </c>
      <c r="E43" s="102">
        <v>1</v>
      </c>
      <c r="F43" s="132" t="s">
        <v>123</v>
      </c>
      <c r="G43" s="70"/>
    </row>
    <row r="44" ht="17.4" spans="1:7">
      <c r="A44" s="111"/>
      <c r="B44" s="26" t="s">
        <v>124</v>
      </c>
      <c r="C44" s="101" t="s">
        <v>125</v>
      </c>
      <c r="D44" s="101" t="s">
        <v>9</v>
      </c>
      <c r="E44" s="102">
        <v>1</v>
      </c>
      <c r="F44" s="132" t="s">
        <v>123</v>
      </c>
      <c r="G44" s="70"/>
    </row>
    <row r="45" ht="17.4" spans="1:7">
      <c r="A45" s="111"/>
      <c r="B45" s="38" t="s">
        <v>126</v>
      </c>
      <c r="C45" s="133" t="s">
        <v>127</v>
      </c>
      <c r="D45" s="133" t="s">
        <v>9</v>
      </c>
      <c r="E45" s="132">
        <v>1</v>
      </c>
      <c r="F45" s="132" t="s">
        <v>123</v>
      </c>
      <c r="G45" s="70"/>
    </row>
    <row r="46" s="88" customFormat="1" ht="18" spans="1:7">
      <c r="A46" s="111"/>
      <c r="B46" s="66" t="s">
        <v>97</v>
      </c>
      <c r="C46" s="118" t="s">
        <v>98</v>
      </c>
      <c r="D46" s="118" t="s">
        <v>17</v>
      </c>
      <c r="E46" s="119">
        <v>2</v>
      </c>
      <c r="F46" s="119" t="s">
        <v>99</v>
      </c>
      <c r="G46" s="104"/>
    </row>
    <row r="47" s="88" customFormat="1" ht="18" spans="1:7">
      <c r="A47" s="111"/>
      <c r="B47" s="80" t="s">
        <v>52</v>
      </c>
      <c r="C47" s="118" t="s">
        <v>101</v>
      </c>
      <c r="D47" s="118" t="s">
        <v>17</v>
      </c>
      <c r="E47" s="119">
        <v>2</v>
      </c>
      <c r="F47" s="119" t="s">
        <v>99</v>
      </c>
      <c r="G47" s="104"/>
    </row>
    <row r="48" s="88" customFormat="1" ht="18" spans="1:7">
      <c r="A48" s="111"/>
      <c r="B48" s="66" t="s">
        <v>59</v>
      </c>
      <c r="C48" s="118" t="s">
        <v>105</v>
      </c>
      <c r="D48" s="118" t="s">
        <v>17</v>
      </c>
      <c r="E48" s="119">
        <v>2</v>
      </c>
      <c r="F48" s="119" t="s">
        <v>99</v>
      </c>
      <c r="G48" s="104"/>
    </row>
    <row r="49" s="88" customFormat="1" ht="18" spans="1:7">
      <c r="A49" s="111"/>
      <c r="B49" s="66" t="s">
        <v>57</v>
      </c>
      <c r="C49" s="118" t="s">
        <v>109</v>
      </c>
      <c r="D49" s="118" t="s">
        <v>17</v>
      </c>
      <c r="E49" s="119">
        <v>2</v>
      </c>
      <c r="F49" s="119" t="s">
        <v>99</v>
      </c>
      <c r="G49" s="104"/>
    </row>
    <row r="50" s="88" customFormat="1" ht="18" spans="1:7">
      <c r="A50" s="120"/>
      <c r="B50" s="66" t="s">
        <v>61</v>
      </c>
      <c r="C50" s="118" t="s">
        <v>111</v>
      </c>
      <c r="D50" s="118" t="s">
        <v>63</v>
      </c>
      <c r="E50" s="119">
        <v>1</v>
      </c>
      <c r="F50" s="119" t="s">
        <v>99</v>
      </c>
      <c r="G50" s="104"/>
    </row>
    <row r="51" ht="17.4" spans="1:7">
      <c r="A51" s="110">
        <v>9</v>
      </c>
      <c r="B51" s="26" t="s">
        <v>128</v>
      </c>
      <c r="C51" s="101" t="s">
        <v>129</v>
      </c>
      <c r="D51" s="101" t="s">
        <v>9</v>
      </c>
      <c r="E51" s="102">
        <v>1</v>
      </c>
      <c r="F51" s="102" t="s">
        <v>130</v>
      </c>
      <c r="G51" s="70"/>
    </row>
    <row r="52" ht="17.4" spans="1:7">
      <c r="A52" s="111"/>
      <c r="B52" s="26" t="s">
        <v>12</v>
      </c>
      <c r="C52" s="101" t="s">
        <v>131</v>
      </c>
      <c r="D52" s="101" t="s">
        <v>14</v>
      </c>
      <c r="E52" s="102">
        <v>1</v>
      </c>
      <c r="F52" s="102" t="s">
        <v>130</v>
      </c>
      <c r="G52" s="70"/>
    </row>
    <row r="53" s="88" customFormat="1" ht="18" spans="1:7">
      <c r="A53" s="111"/>
      <c r="B53" s="80" t="s">
        <v>52</v>
      </c>
      <c r="C53" s="118" t="s">
        <v>132</v>
      </c>
      <c r="D53" s="118" t="s">
        <v>17</v>
      </c>
      <c r="E53" s="119">
        <v>1</v>
      </c>
      <c r="F53" s="119" t="s">
        <v>133</v>
      </c>
      <c r="G53" s="104"/>
    </row>
    <row r="54" s="88" customFormat="1" ht="18" spans="1:7">
      <c r="A54" s="111"/>
      <c r="B54" s="66" t="s">
        <v>59</v>
      </c>
      <c r="C54" s="118" t="s">
        <v>134</v>
      </c>
      <c r="D54" s="118" t="s">
        <v>17</v>
      </c>
      <c r="E54" s="119">
        <v>2</v>
      </c>
      <c r="F54" s="119" t="s">
        <v>133</v>
      </c>
      <c r="G54" s="104"/>
    </row>
    <row r="55" s="88" customFormat="1" ht="18" spans="1:7">
      <c r="A55" s="111"/>
      <c r="B55" s="134" t="s">
        <v>135</v>
      </c>
      <c r="C55" s="127" t="s">
        <v>85</v>
      </c>
      <c r="D55" s="127" t="s">
        <v>17</v>
      </c>
      <c r="E55" s="128">
        <v>1</v>
      </c>
      <c r="F55" s="128" t="s">
        <v>133</v>
      </c>
      <c r="G55" s="104"/>
    </row>
    <row r="56" s="88" customFormat="1" ht="18" spans="1:7">
      <c r="A56" s="111"/>
      <c r="B56" s="66" t="s">
        <v>37</v>
      </c>
      <c r="C56" s="118" t="s">
        <v>136</v>
      </c>
      <c r="D56" s="118" t="s">
        <v>17</v>
      </c>
      <c r="E56" s="119">
        <v>1</v>
      </c>
      <c r="F56" s="119" t="s">
        <v>133</v>
      </c>
      <c r="G56" s="104"/>
    </row>
    <row r="57" s="88" customFormat="1" ht="18" spans="1:7">
      <c r="A57" s="120"/>
      <c r="B57" s="66" t="s">
        <v>137</v>
      </c>
      <c r="C57" s="118" t="s">
        <v>138</v>
      </c>
      <c r="D57" s="118" t="s">
        <v>17</v>
      </c>
      <c r="E57" s="119">
        <v>1</v>
      </c>
      <c r="F57" s="119" t="s">
        <v>133</v>
      </c>
      <c r="G57" s="104"/>
    </row>
    <row r="58" ht="17.4" spans="1:7">
      <c r="A58" s="110">
        <v>10</v>
      </c>
      <c r="B58" s="26" t="s">
        <v>139</v>
      </c>
      <c r="C58" s="101" t="s">
        <v>140</v>
      </c>
      <c r="D58" s="101" t="s">
        <v>141</v>
      </c>
      <c r="E58" s="102">
        <v>1</v>
      </c>
      <c r="F58" s="102" t="s">
        <v>142</v>
      </c>
      <c r="G58" s="70"/>
    </row>
    <row r="59" ht="17.4" spans="1:7">
      <c r="A59" s="111"/>
      <c r="B59" s="26" t="s">
        <v>12</v>
      </c>
      <c r="C59" s="101" t="s">
        <v>143</v>
      </c>
      <c r="D59" s="101" t="s">
        <v>14</v>
      </c>
      <c r="E59" s="102">
        <v>1</v>
      </c>
      <c r="F59" s="102" t="s">
        <v>142</v>
      </c>
      <c r="G59" s="70"/>
    </row>
    <row r="60" s="91" customFormat="1" ht="18" spans="1:7">
      <c r="A60" s="120"/>
      <c r="B60" s="66" t="s">
        <v>49</v>
      </c>
      <c r="C60" s="118" t="s">
        <v>144</v>
      </c>
      <c r="D60" s="118" t="s">
        <v>17</v>
      </c>
      <c r="E60" s="119">
        <v>1</v>
      </c>
      <c r="F60" s="103" t="s">
        <v>145</v>
      </c>
      <c r="G60" s="135"/>
    </row>
    <row r="61" ht="17.4" spans="1:7">
      <c r="A61" s="110">
        <v>11</v>
      </c>
      <c r="B61" s="26" t="s">
        <v>146</v>
      </c>
      <c r="C61" s="101" t="s">
        <v>147</v>
      </c>
      <c r="D61" s="101" t="s">
        <v>9</v>
      </c>
      <c r="E61" s="102">
        <v>1</v>
      </c>
      <c r="F61" s="102" t="s">
        <v>148</v>
      </c>
      <c r="G61" s="70"/>
    </row>
    <row r="62" ht="17.4" spans="1:7">
      <c r="A62" s="111"/>
      <c r="B62" s="26" t="s">
        <v>12</v>
      </c>
      <c r="C62" s="101" t="s">
        <v>149</v>
      </c>
      <c r="D62" s="101" t="s">
        <v>14</v>
      </c>
      <c r="E62" s="102">
        <v>1</v>
      </c>
      <c r="F62" s="102" t="s">
        <v>148</v>
      </c>
      <c r="G62" s="70"/>
    </row>
    <row r="63" s="88" customFormat="1" ht="18" spans="1:7">
      <c r="A63" s="111"/>
      <c r="B63" s="66" t="s">
        <v>112</v>
      </c>
      <c r="C63" s="118" t="s">
        <v>150</v>
      </c>
      <c r="D63" s="118" t="s">
        <v>114</v>
      </c>
      <c r="E63" s="119">
        <v>1</v>
      </c>
      <c r="F63" s="119" t="s">
        <v>151</v>
      </c>
      <c r="G63" s="104"/>
    </row>
    <row r="64" s="88" customFormat="1" ht="18" spans="1:7">
      <c r="A64" s="111"/>
      <c r="B64" s="66" t="s">
        <v>116</v>
      </c>
      <c r="C64" s="118" t="s">
        <v>152</v>
      </c>
      <c r="D64" s="118" t="s">
        <v>118</v>
      </c>
      <c r="E64" s="119">
        <v>1</v>
      </c>
      <c r="F64" s="119" t="s">
        <v>151</v>
      </c>
      <c r="G64" s="104"/>
    </row>
    <row r="65" s="88" customFormat="1" ht="18" spans="1:7">
      <c r="A65" s="111"/>
      <c r="B65" s="126" t="s">
        <v>153</v>
      </c>
      <c r="C65" s="127" t="s">
        <v>154</v>
      </c>
      <c r="D65" s="127" t="s">
        <v>17</v>
      </c>
      <c r="E65" s="128">
        <v>1</v>
      </c>
      <c r="F65" s="128" t="s">
        <v>151</v>
      </c>
      <c r="G65" s="104"/>
    </row>
    <row r="66" s="88" customFormat="1" ht="18" spans="1:7">
      <c r="A66" s="120"/>
      <c r="B66" s="66" t="s">
        <v>155</v>
      </c>
      <c r="C66" s="118" t="s">
        <v>156</v>
      </c>
      <c r="D66" s="118" t="s">
        <v>54</v>
      </c>
      <c r="E66" s="119">
        <v>1</v>
      </c>
      <c r="F66" s="119" t="s">
        <v>151</v>
      </c>
      <c r="G66" s="104"/>
    </row>
    <row r="67" ht="17.4" spans="1:7">
      <c r="A67" s="110">
        <v>12</v>
      </c>
      <c r="B67" s="26" t="s">
        <v>19</v>
      </c>
      <c r="C67" s="101" t="s">
        <v>157</v>
      </c>
      <c r="D67" s="101" t="s">
        <v>14</v>
      </c>
      <c r="E67" s="102">
        <v>1</v>
      </c>
      <c r="F67" s="102" t="s">
        <v>158</v>
      </c>
      <c r="G67" s="70"/>
    </row>
    <row r="68" ht="17.4" spans="1:7">
      <c r="A68" s="111"/>
      <c r="B68" s="26" t="s">
        <v>159</v>
      </c>
      <c r="C68" s="101" t="s">
        <v>160</v>
      </c>
      <c r="D68" s="101" t="s">
        <v>9</v>
      </c>
      <c r="E68" s="102">
        <v>1</v>
      </c>
      <c r="F68" s="102" t="s">
        <v>158</v>
      </c>
      <c r="G68" s="70"/>
    </row>
    <row r="69" ht="17.4" spans="1:7">
      <c r="A69" s="111"/>
      <c r="B69" s="26" t="s">
        <v>161</v>
      </c>
      <c r="C69" s="101" t="s">
        <v>162</v>
      </c>
      <c r="D69" s="101" t="s">
        <v>9</v>
      </c>
      <c r="E69" s="102">
        <v>1</v>
      </c>
      <c r="F69" s="102" t="s">
        <v>158</v>
      </c>
      <c r="G69" s="70"/>
    </row>
    <row r="70" s="88" customFormat="1" ht="17.4" spans="1:7">
      <c r="A70" s="111"/>
      <c r="B70" s="74" t="s">
        <v>49</v>
      </c>
      <c r="C70" s="47" t="s">
        <v>71</v>
      </c>
      <c r="D70" s="47" t="s">
        <v>17</v>
      </c>
      <c r="E70" s="103">
        <v>2</v>
      </c>
      <c r="F70" s="103" t="s">
        <v>72</v>
      </c>
      <c r="G70" s="104"/>
    </row>
    <row r="71" s="88" customFormat="1" ht="17.4" spans="1:7">
      <c r="A71" s="111"/>
      <c r="B71" s="74" t="s">
        <v>75</v>
      </c>
      <c r="C71" s="47" t="s">
        <v>76</v>
      </c>
      <c r="D71" s="47" t="s">
        <v>54</v>
      </c>
      <c r="E71" s="103">
        <v>2</v>
      </c>
      <c r="F71" s="103" t="s">
        <v>72</v>
      </c>
      <c r="G71" s="104"/>
    </row>
    <row r="72" s="88" customFormat="1" ht="17.4" spans="1:7">
      <c r="A72" s="111"/>
      <c r="B72" s="74" t="s">
        <v>79</v>
      </c>
      <c r="C72" s="47" t="s">
        <v>80</v>
      </c>
      <c r="D72" s="47" t="s">
        <v>17</v>
      </c>
      <c r="E72" s="103">
        <v>1</v>
      </c>
      <c r="F72" s="103" t="s">
        <v>72</v>
      </c>
      <c r="G72" s="104"/>
    </row>
    <row r="73" s="88" customFormat="1" ht="17.4" spans="1:7">
      <c r="A73" s="111"/>
      <c r="B73" s="74" t="s">
        <v>57</v>
      </c>
      <c r="C73" s="47" t="s">
        <v>84</v>
      </c>
      <c r="D73" s="47" t="s">
        <v>17</v>
      </c>
      <c r="E73" s="103">
        <v>2</v>
      </c>
      <c r="F73" s="103" t="s">
        <v>72</v>
      </c>
      <c r="G73" s="104"/>
    </row>
    <row r="74" s="88" customFormat="1" ht="17.4" spans="1:7">
      <c r="A74" s="111"/>
      <c r="B74" s="74" t="s">
        <v>59</v>
      </c>
      <c r="C74" s="47" t="s">
        <v>86</v>
      </c>
      <c r="D74" s="47" t="s">
        <v>17</v>
      </c>
      <c r="E74" s="103">
        <v>2</v>
      </c>
      <c r="F74" s="103" t="s">
        <v>72</v>
      </c>
      <c r="G74" s="104"/>
    </row>
    <row r="75" s="88" customFormat="1" ht="17.4" spans="1:7">
      <c r="A75" s="120"/>
      <c r="B75" s="74" t="s">
        <v>89</v>
      </c>
      <c r="C75" s="47" t="s">
        <v>90</v>
      </c>
      <c r="D75" s="47" t="s">
        <v>63</v>
      </c>
      <c r="E75" s="103">
        <v>1</v>
      </c>
      <c r="F75" s="103" t="s">
        <v>72</v>
      </c>
      <c r="G75" s="104"/>
    </row>
    <row r="76" ht="17.4" spans="1:7">
      <c r="A76" s="110">
        <v>13</v>
      </c>
      <c r="B76" s="41" t="s">
        <v>163</v>
      </c>
      <c r="C76" s="101" t="s">
        <v>164</v>
      </c>
      <c r="D76" s="101" t="s">
        <v>32</v>
      </c>
      <c r="E76" s="102">
        <v>1</v>
      </c>
      <c r="F76" s="101" t="s">
        <v>165</v>
      </c>
      <c r="G76" s="70"/>
    </row>
    <row r="77" ht="17.4" spans="1:7">
      <c r="A77" s="111"/>
      <c r="B77" s="26" t="s">
        <v>166</v>
      </c>
      <c r="C77" s="101" t="s">
        <v>167</v>
      </c>
      <c r="D77" s="101" t="s">
        <v>14</v>
      </c>
      <c r="E77" s="102">
        <v>1</v>
      </c>
      <c r="F77" s="101" t="s">
        <v>165</v>
      </c>
      <c r="G77" s="70"/>
    </row>
    <row r="78" s="88" customFormat="1" ht="18" spans="1:7">
      <c r="A78" s="111"/>
      <c r="B78" s="76" t="s">
        <v>49</v>
      </c>
      <c r="C78" s="136" t="s">
        <v>168</v>
      </c>
      <c r="D78" s="136" t="s">
        <v>17</v>
      </c>
      <c r="E78" s="137">
        <v>2</v>
      </c>
      <c r="F78" s="137" t="s">
        <v>169</v>
      </c>
      <c r="G78" s="104"/>
    </row>
    <row r="79" s="88" customFormat="1" ht="18" spans="1:7">
      <c r="A79" s="120"/>
      <c r="B79" s="76" t="s">
        <v>170</v>
      </c>
      <c r="C79" s="136" t="s">
        <v>171</v>
      </c>
      <c r="D79" s="136" t="s">
        <v>63</v>
      </c>
      <c r="E79" s="137">
        <v>1</v>
      </c>
      <c r="F79" s="137" t="s">
        <v>169</v>
      </c>
      <c r="G79" s="104"/>
    </row>
    <row r="80" ht="17.4" spans="1:7">
      <c r="A80" s="110">
        <v>14</v>
      </c>
      <c r="B80" s="42" t="s">
        <v>172</v>
      </c>
      <c r="C80" s="101" t="s">
        <v>173</v>
      </c>
      <c r="D80" s="101" t="s">
        <v>9</v>
      </c>
      <c r="E80" s="102">
        <v>1</v>
      </c>
      <c r="F80" s="102" t="s">
        <v>174</v>
      </c>
      <c r="G80" s="70"/>
    </row>
    <row r="81" ht="17.4" spans="1:7">
      <c r="A81" s="111"/>
      <c r="B81" s="26" t="s">
        <v>175</v>
      </c>
      <c r="C81" s="101" t="s">
        <v>176</v>
      </c>
      <c r="D81" s="101" t="s">
        <v>9</v>
      </c>
      <c r="E81" s="102">
        <v>4</v>
      </c>
      <c r="F81" s="102" t="s">
        <v>174</v>
      </c>
      <c r="G81" s="70"/>
    </row>
    <row r="82" ht="34.8" spans="1:7">
      <c r="A82" s="111"/>
      <c r="B82" s="26" t="s">
        <v>177</v>
      </c>
      <c r="C82" s="11" t="s">
        <v>178</v>
      </c>
      <c r="D82" s="101" t="s">
        <v>9</v>
      </c>
      <c r="E82" s="102">
        <v>8</v>
      </c>
      <c r="F82" s="102" t="s">
        <v>174</v>
      </c>
      <c r="G82" s="70"/>
    </row>
    <row r="83" ht="17.4" spans="1:7">
      <c r="A83" s="111"/>
      <c r="B83" s="26" t="s">
        <v>179</v>
      </c>
      <c r="C83" s="101" t="s">
        <v>180</v>
      </c>
      <c r="D83" s="101" t="s">
        <v>9</v>
      </c>
      <c r="E83" s="102">
        <v>3</v>
      </c>
      <c r="F83" s="102" t="s">
        <v>174</v>
      </c>
      <c r="G83" s="70"/>
    </row>
    <row r="84" ht="17.4" spans="1:7">
      <c r="A84" s="111"/>
      <c r="B84" s="26" t="s">
        <v>181</v>
      </c>
      <c r="C84" s="101" t="s">
        <v>182</v>
      </c>
      <c r="D84" s="101" t="s">
        <v>9</v>
      </c>
      <c r="E84" s="102">
        <v>5</v>
      </c>
      <c r="F84" s="102" t="s">
        <v>174</v>
      </c>
      <c r="G84" s="70"/>
    </row>
    <row r="85" ht="17.4" spans="1:7">
      <c r="A85" s="111"/>
      <c r="B85" s="26" t="s">
        <v>183</v>
      </c>
      <c r="C85" s="101" t="s">
        <v>184</v>
      </c>
      <c r="D85" s="101" t="s">
        <v>9</v>
      </c>
      <c r="E85" s="102">
        <v>1</v>
      </c>
      <c r="F85" s="102" t="s">
        <v>174</v>
      </c>
      <c r="G85" s="70"/>
    </row>
    <row r="86" ht="17.4" spans="1:7">
      <c r="A86" s="111"/>
      <c r="B86" s="26" t="s">
        <v>185</v>
      </c>
      <c r="C86" s="101" t="s">
        <v>186</v>
      </c>
      <c r="D86" s="101" t="s">
        <v>9</v>
      </c>
      <c r="E86" s="102">
        <v>1</v>
      </c>
      <c r="F86" s="102" t="s">
        <v>174</v>
      </c>
      <c r="G86" s="70"/>
    </row>
    <row r="87" ht="17.4" spans="1:7">
      <c r="A87" s="111"/>
      <c r="B87" s="26" t="s">
        <v>187</v>
      </c>
      <c r="C87" s="101" t="s">
        <v>188</v>
      </c>
      <c r="D87" s="101" t="s">
        <v>9</v>
      </c>
      <c r="E87" s="102">
        <v>1</v>
      </c>
      <c r="F87" s="102" t="s">
        <v>174</v>
      </c>
      <c r="G87" s="70"/>
    </row>
    <row r="88" ht="17.4" spans="1:7">
      <c r="A88" s="111"/>
      <c r="B88" s="26" t="s">
        <v>189</v>
      </c>
      <c r="C88" s="101" t="s">
        <v>190</v>
      </c>
      <c r="D88" s="101"/>
      <c r="E88" s="102"/>
      <c r="F88" s="102" t="s">
        <v>174</v>
      </c>
      <c r="G88" s="70"/>
    </row>
    <row r="89" ht="17" customHeight="1" spans="1:7">
      <c r="A89" s="111"/>
      <c r="B89" s="66" t="s">
        <v>191</v>
      </c>
      <c r="C89" s="66" t="s">
        <v>192</v>
      </c>
      <c r="D89" s="66" t="s">
        <v>193</v>
      </c>
      <c r="E89" s="66">
        <v>1</v>
      </c>
      <c r="F89" s="66" t="s">
        <v>174</v>
      </c>
      <c r="G89" s="70"/>
    </row>
    <row r="90" s="88" customFormat="1" ht="18" spans="1:7">
      <c r="A90" s="111"/>
      <c r="B90" s="66" t="s">
        <v>194</v>
      </c>
      <c r="C90" s="118" t="s">
        <v>195</v>
      </c>
      <c r="D90" s="118" t="s">
        <v>196</v>
      </c>
      <c r="E90" s="119">
        <v>2</v>
      </c>
      <c r="F90" s="119" t="s">
        <v>197</v>
      </c>
      <c r="G90" s="104"/>
    </row>
    <row r="91" s="88" customFormat="1" ht="18" spans="1:7">
      <c r="A91" s="111"/>
      <c r="B91" s="66" t="s">
        <v>49</v>
      </c>
      <c r="C91" s="118" t="s">
        <v>198</v>
      </c>
      <c r="D91" s="118" t="s">
        <v>199</v>
      </c>
      <c r="E91" s="119">
        <v>4</v>
      </c>
      <c r="F91" s="119" t="s">
        <v>197</v>
      </c>
      <c r="G91" s="104"/>
    </row>
    <row r="92" s="88" customFormat="1" ht="18" spans="1:7">
      <c r="A92" s="111"/>
      <c r="B92" s="66" t="s">
        <v>200</v>
      </c>
      <c r="C92" s="118" t="s">
        <v>201</v>
      </c>
      <c r="D92" s="118" t="s">
        <v>202</v>
      </c>
      <c r="E92" s="119">
        <v>1</v>
      </c>
      <c r="F92" s="119" t="s">
        <v>197</v>
      </c>
      <c r="G92" s="104"/>
    </row>
    <row r="93" s="88" customFormat="1" ht="18" spans="1:7">
      <c r="A93" s="111"/>
      <c r="B93" s="66" t="s">
        <v>203</v>
      </c>
      <c r="C93" s="118" t="s">
        <v>204</v>
      </c>
      <c r="D93" s="118" t="s">
        <v>205</v>
      </c>
      <c r="E93" s="119">
        <v>1</v>
      </c>
      <c r="F93" s="119" t="s">
        <v>197</v>
      </c>
      <c r="G93" s="104"/>
    </row>
    <row r="94" s="88" customFormat="1" ht="18" spans="1:7">
      <c r="A94" s="111"/>
      <c r="B94" s="74" t="s">
        <v>75</v>
      </c>
      <c r="C94" s="118" t="s">
        <v>206</v>
      </c>
      <c r="D94" s="118" t="s">
        <v>199</v>
      </c>
      <c r="E94" s="119">
        <v>1</v>
      </c>
      <c r="F94" s="119" t="s">
        <v>197</v>
      </c>
      <c r="G94" s="104"/>
    </row>
    <row r="95" s="88" customFormat="1" ht="18" spans="1:7">
      <c r="A95" s="111"/>
      <c r="B95" s="66" t="s">
        <v>207</v>
      </c>
      <c r="C95" s="118" t="s">
        <v>208</v>
      </c>
      <c r="D95" s="118" t="s">
        <v>199</v>
      </c>
      <c r="E95" s="119">
        <v>1</v>
      </c>
      <c r="F95" s="119" t="s">
        <v>197</v>
      </c>
      <c r="G95" s="104"/>
    </row>
    <row r="96" s="88" customFormat="1" ht="18" spans="1:7">
      <c r="A96" s="111"/>
      <c r="B96" s="66" t="s">
        <v>209</v>
      </c>
      <c r="C96" s="118" t="s">
        <v>210</v>
      </c>
      <c r="D96" s="118" t="s">
        <v>199</v>
      </c>
      <c r="E96" s="119">
        <v>1</v>
      </c>
      <c r="F96" s="119" t="s">
        <v>197</v>
      </c>
      <c r="G96" s="104"/>
    </row>
    <row r="97" s="88" customFormat="1" ht="18" spans="1:7">
      <c r="A97" s="111"/>
      <c r="B97" s="66" t="s">
        <v>211</v>
      </c>
      <c r="C97" s="118" t="s">
        <v>212</v>
      </c>
      <c r="D97" s="118" t="s">
        <v>199</v>
      </c>
      <c r="E97" s="119">
        <v>1</v>
      </c>
      <c r="F97" s="119" t="s">
        <v>197</v>
      </c>
      <c r="G97" s="104"/>
    </row>
    <row r="98" s="88" customFormat="1" ht="18" spans="1:7">
      <c r="A98" s="111"/>
      <c r="B98" s="81" t="s">
        <v>213</v>
      </c>
      <c r="C98" s="138" t="s">
        <v>92</v>
      </c>
      <c r="D98" s="138" t="s">
        <v>214</v>
      </c>
      <c r="E98" s="139">
        <v>1</v>
      </c>
      <c r="F98" s="119" t="s">
        <v>197</v>
      </c>
      <c r="G98" s="104"/>
    </row>
    <row r="99" s="88" customFormat="1" ht="18" spans="1:7">
      <c r="A99" s="120"/>
      <c r="B99" s="66" t="s">
        <v>215</v>
      </c>
      <c r="C99" s="118" t="s">
        <v>216</v>
      </c>
      <c r="D99" s="118" t="s">
        <v>63</v>
      </c>
      <c r="E99" s="119">
        <v>1</v>
      </c>
      <c r="F99" s="119" t="s">
        <v>197</v>
      </c>
      <c r="G99" s="104"/>
    </row>
  </sheetData>
  <mergeCells count="18">
    <mergeCell ref="B1:F1"/>
    <mergeCell ref="A3:A5"/>
    <mergeCell ref="A6:A10"/>
    <mergeCell ref="A11:A14"/>
    <mergeCell ref="A15:A24"/>
    <mergeCell ref="A25:A26"/>
    <mergeCell ref="A27:A33"/>
    <mergeCell ref="A34:A36"/>
    <mergeCell ref="A37:A42"/>
    <mergeCell ref="A43:A50"/>
    <mergeCell ref="A51:A57"/>
    <mergeCell ref="A58:A60"/>
    <mergeCell ref="A61:A66"/>
    <mergeCell ref="A67:A75"/>
    <mergeCell ref="A76:A79"/>
    <mergeCell ref="A80:A99"/>
    <mergeCell ref="F27:F28"/>
    <mergeCell ref="F29:F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workbookViewId="0">
      <selection activeCell="B14" sqref="B14"/>
    </sheetView>
  </sheetViews>
  <sheetFormatPr defaultColWidth="8.88888888888889" defaultRowHeight="14.4"/>
  <cols>
    <col min="1" max="1" width="24" customWidth="1"/>
    <col min="2" max="2" width="29.3333333333333" style="24" customWidth="1"/>
    <col min="3" max="3" width="21.2222222222222" style="24" customWidth="1"/>
    <col min="4" max="4" width="12.8888888888889" style="14" customWidth="1"/>
    <col min="5" max="5" width="24.8888888888889" style="14" customWidth="1"/>
    <col min="6" max="6" width="21.5555555555556" customWidth="1"/>
    <col min="7" max="7" width="5.77777777777778" style="14" customWidth="1"/>
    <col min="8" max="8" width="4.88888888888889" style="14" customWidth="1"/>
    <col min="9" max="9" width="4.88888888888889" customWidth="1"/>
  </cols>
  <sheetData>
    <row r="1" spans="1:10">
      <c r="A1" s="1" t="s">
        <v>217</v>
      </c>
      <c r="B1" s="25" t="s">
        <v>218</v>
      </c>
      <c r="C1" s="25" t="s">
        <v>219</v>
      </c>
      <c r="D1" s="3" t="s">
        <v>220</v>
      </c>
      <c r="E1" s="3" t="s">
        <v>221</v>
      </c>
      <c r="F1" s="4" t="s">
        <v>222</v>
      </c>
      <c r="G1" s="5"/>
      <c r="H1" s="5"/>
      <c r="I1" s="17"/>
      <c r="J1" s="9"/>
    </row>
    <row r="2" ht="17.4" spans="1:10">
      <c r="A2" s="26" t="s">
        <v>223</v>
      </c>
      <c r="B2" s="11" t="s">
        <v>23</v>
      </c>
      <c r="C2" s="11" t="s">
        <v>9</v>
      </c>
      <c r="D2" s="27">
        <v>1</v>
      </c>
      <c r="E2" s="27" t="s">
        <v>224</v>
      </c>
      <c r="F2" s="28" t="s">
        <v>21</v>
      </c>
      <c r="G2" s="5"/>
      <c r="H2" s="5"/>
      <c r="I2" s="17"/>
      <c r="J2" s="9"/>
    </row>
    <row r="3" ht="17.4" spans="1:10">
      <c r="A3" s="26" t="s">
        <v>225</v>
      </c>
      <c r="B3" s="11" t="s">
        <v>25</v>
      </c>
      <c r="C3" s="11" t="s">
        <v>9</v>
      </c>
      <c r="D3" s="27">
        <v>1</v>
      </c>
      <c r="E3" s="27" t="s">
        <v>224</v>
      </c>
      <c r="F3" s="28" t="s">
        <v>21</v>
      </c>
      <c r="G3" s="5"/>
      <c r="H3" s="5"/>
      <c r="I3" s="17"/>
      <c r="J3" s="9"/>
    </row>
    <row r="4" ht="17.4" spans="1:10">
      <c r="A4" s="26" t="s">
        <v>226</v>
      </c>
      <c r="B4" s="11" t="s">
        <v>27</v>
      </c>
      <c r="C4" s="11" t="s">
        <v>9</v>
      </c>
      <c r="D4" s="27">
        <v>1</v>
      </c>
      <c r="E4" s="27" t="s">
        <v>224</v>
      </c>
      <c r="F4" s="28" t="s">
        <v>21</v>
      </c>
      <c r="G4" s="5"/>
      <c r="H4" s="5"/>
      <c r="I4" s="17"/>
      <c r="J4" s="9"/>
    </row>
    <row r="5" ht="18" spans="1:10">
      <c r="A5" s="29" t="s">
        <v>40</v>
      </c>
      <c r="B5" s="30" t="s">
        <v>41</v>
      </c>
      <c r="C5" s="30" t="s">
        <v>9</v>
      </c>
      <c r="D5" s="31">
        <v>1</v>
      </c>
      <c r="E5" s="31" t="s">
        <v>224</v>
      </c>
      <c r="F5" s="32" t="s">
        <v>227</v>
      </c>
      <c r="G5" s="5"/>
      <c r="H5" s="5"/>
      <c r="I5" s="17"/>
      <c r="J5" s="9"/>
    </row>
    <row r="6" ht="18" spans="1:10">
      <c r="A6" s="33" t="s">
        <v>43</v>
      </c>
      <c r="B6" s="30" t="s">
        <v>44</v>
      </c>
      <c r="C6" s="30" t="s">
        <v>9</v>
      </c>
      <c r="D6" s="31">
        <v>1</v>
      </c>
      <c r="E6" s="31" t="s">
        <v>224</v>
      </c>
      <c r="F6" s="32" t="s">
        <v>227</v>
      </c>
      <c r="G6" s="5"/>
      <c r="H6" s="5"/>
      <c r="I6" s="17"/>
      <c r="J6" s="9"/>
    </row>
    <row r="7" ht="17.4" spans="1:10">
      <c r="A7" s="26" t="s">
        <v>128</v>
      </c>
      <c r="B7" s="11" t="s">
        <v>129</v>
      </c>
      <c r="C7" s="11" t="s">
        <v>9</v>
      </c>
      <c r="D7" s="12">
        <v>1</v>
      </c>
      <c r="E7" s="12">
        <v>1</v>
      </c>
      <c r="F7" s="34" t="s">
        <v>228</v>
      </c>
      <c r="G7" s="5"/>
      <c r="H7" s="5"/>
      <c r="I7" s="17"/>
      <c r="J7" s="9"/>
    </row>
    <row r="8" ht="17.4" spans="1:10">
      <c r="A8" s="26" t="s">
        <v>161</v>
      </c>
      <c r="B8" s="11" t="s">
        <v>162</v>
      </c>
      <c r="C8" s="11" t="s">
        <v>9</v>
      </c>
      <c r="D8" s="12">
        <v>1</v>
      </c>
      <c r="E8" s="12" t="s">
        <v>224</v>
      </c>
      <c r="F8" s="34" t="s">
        <v>229</v>
      </c>
      <c r="G8" s="5"/>
      <c r="H8" s="5"/>
      <c r="I8" s="17"/>
      <c r="J8" s="9"/>
    </row>
    <row r="9" ht="17.4" spans="1:10">
      <c r="A9" s="26" t="s">
        <v>30</v>
      </c>
      <c r="B9" s="11" t="s">
        <v>31</v>
      </c>
      <c r="C9" s="11" t="s">
        <v>32</v>
      </c>
      <c r="D9" s="12">
        <v>1</v>
      </c>
      <c r="E9" s="12" t="s">
        <v>224</v>
      </c>
      <c r="F9" s="35" t="s">
        <v>230</v>
      </c>
      <c r="G9" s="5"/>
      <c r="H9" s="5"/>
      <c r="I9" s="17"/>
      <c r="J9" s="9"/>
    </row>
    <row r="10" ht="17.4" spans="1:10">
      <c r="A10" s="26" t="s">
        <v>34</v>
      </c>
      <c r="B10" s="11" t="s">
        <v>35</v>
      </c>
      <c r="C10" s="11" t="s">
        <v>32</v>
      </c>
      <c r="D10" s="12">
        <v>1</v>
      </c>
      <c r="E10" s="12" t="s">
        <v>224</v>
      </c>
      <c r="F10" s="35" t="s">
        <v>230</v>
      </c>
      <c r="G10" s="5"/>
      <c r="H10" s="5"/>
      <c r="I10" s="17"/>
      <c r="J10" s="9"/>
    </row>
    <row r="11" ht="18" spans="1:10">
      <c r="A11" s="36" t="s">
        <v>47</v>
      </c>
      <c r="B11" s="30" t="s">
        <v>48</v>
      </c>
      <c r="C11" s="30" t="s">
        <v>9</v>
      </c>
      <c r="D11" s="31">
        <v>1</v>
      </c>
      <c r="E11" s="31" t="s">
        <v>224</v>
      </c>
      <c r="F11" s="32" t="s">
        <v>227</v>
      </c>
      <c r="G11" s="5"/>
      <c r="H11" s="5"/>
      <c r="I11" s="17"/>
      <c r="J11" s="9"/>
    </row>
    <row r="12" ht="17.4" spans="1:10">
      <c r="A12" s="26" t="s">
        <v>124</v>
      </c>
      <c r="B12" s="11" t="s">
        <v>125</v>
      </c>
      <c r="C12" s="11" t="s">
        <v>9</v>
      </c>
      <c r="D12" s="12">
        <v>1</v>
      </c>
      <c r="E12" s="12" t="s">
        <v>224</v>
      </c>
      <c r="F12" s="37" t="s">
        <v>231</v>
      </c>
      <c r="G12" s="5"/>
      <c r="H12" s="5"/>
      <c r="I12" s="17"/>
      <c r="J12" s="9"/>
    </row>
    <row r="13" ht="17.4" spans="1:10">
      <c r="A13" s="26" t="s">
        <v>159</v>
      </c>
      <c r="B13" s="11" t="s">
        <v>160</v>
      </c>
      <c r="C13" s="11" t="s">
        <v>9</v>
      </c>
      <c r="D13" s="12">
        <v>1</v>
      </c>
      <c r="E13" s="12" t="s">
        <v>224</v>
      </c>
      <c r="F13" s="34" t="s">
        <v>158</v>
      </c>
      <c r="G13" s="5"/>
      <c r="H13" s="5"/>
      <c r="I13" s="17"/>
      <c r="J13" s="9"/>
    </row>
    <row r="14" ht="17.4" spans="1:10">
      <c r="A14" s="26" t="s">
        <v>94</v>
      </c>
      <c r="B14" s="11" t="s">
        <v>95</v>
      </c>
      <c r="C14" s="11" t="s">
        <v>9</v>
      </c>
      <c r="D14" s="12">
        <v>1</v>
      </c>
      <c r="E14" s="12" t="s">
        <v>224</v>
      </c>
      <c r="F14" s="35" t="s">
        <v>232</v>
      </c>
      <c r="G14" s="5"/>
      <c r="H14" s="5"/>
      <c r="I14" s="17"/>
      <c r="J14" s="9"/>
    </row>
    <row r="15" ht="17.4" spans="1:10">
      <c r="A15" s="38" t="s">
        <v>126</v>
      </c>
      <c r="B15" s="39" t="s">
        <v>127</v>
      </c>
      <c r="C15" s="39" t="s">
        <v>9</v>
      </c>
      <c r="D15" s="40">
        <v>1</v>
      </c>
      <c r="E15" s="40" t="s">
        <v>224</v>
      </c>
      <c r="F15" s="37" t="s">
        <v>231</v>
      </c>
      <c r="G15" s="5"/>
      <c r="H15" s="5"/>
      <c r="I15" s="17"/>
      <c r="J15" s="9"/>
    </row>
    <row r="16" ht="17.4" spans="1:10">
      <c r="A16" s="26" t="s">
        <v>106</v>
      </c>
      <c r="B16" s="11" t="s">
        <v>107</v>
      </c>
      <c r="C16" s="11" t="s">
        <v>9</v>
      </c>
      <c r="D16" s="12">
        <v>1</v>
      </c>
      <c r="E16" s="12">
        <v>1</v>
      </c>
      <c r="F16" s="34" t="s">
        <v>233</v>
      </c>
      <c r="G16" s="5"/>
      <c r="H16" s="5"/>
      <c r="I16" s="17"/>
      <c r="J16" s="9"/>
    </row>
    <row r="17" ht="17.4" spans="1:10">
      <c r="A17" s="26" t="s">
        <v>139</v>
      </c>
      <c r="B17" s="11" t="s">
        <v>140</v>
      </c>
      <c r="C17" s="11" t="s">
        <v>141</v>
      </c>
      <c r="D17" s="12">
        <v>1</v>
      </c>
      <c r="E17" s="12">
        <v>1</v>
      </c>
      <c r="F17" s="34" t="s">
        <v>234</v>
      </c>
      <c r="G17" s="5"/>
      <c r="H17" s="5"/>
      <c r="I17" s="17"/>
      <c r="J17" s="9"/>
    </row>
    <row r="18" ht="17.4" spans="1:10">
      <c r="A18" s="26" t="s">
        <v>146</v>
      </c>
      <c r="B18" s="11" t="s">
        <v>147</v>
      </c>
      <c r="C18" s="11" t="s">
        <v>9</v>
      </c>
      <c r="D18" s="12">
        <v>1</v>
      </c>
      <c r="E18" s="12">
        <v>1</v>
      </c>
      <c r="F18" s="34" t="s">
        <v>235</v>
      </c>
      <c r="G18" s="5"/>
      <c r="H18" s="5"/>
      <c r="I18" s="17"/>
      <c r="J18" s="9"/>
    </row>
    <row r="19" ht="17.4" spans="1:10">
      <c r="A19" s="41" t="s">
        <v>163</v>
      </c>
      <c r="B19" s="11" t="s">
        <v>164</v>
      </c>
      <c r="C19" s="11" t="s">
        <v>32</v>
      </c>
      <c r="D19" s="12">
        <v>1</v>
      </c>
      <c r="E19" s="12">
        <v>1</v>
      </c>
      <c r="F19" s="35" t="s">
        <v>236</v>
      </c>
      <c r="G19" s="5"/>
      <c r="H19" s="5"/>
      <c r="I19" s="17"/>
      <c r="J19" s="9"/>
    </row>
    <row r="20" ht="17.4" spans="1:10">
      <c r="A20" s="42" t="s">
        <v>172</v>
      </c>
      <c r="B20" s="11" t="s">
        <v>173</v>
      </c>
      <c r="C20" s="11" t="s">
        <v>9</v>
      </c>
      <c r="D20" s="12">
        <v>1</v>
      </c>
      <c r="E20" s="12" t="s">
        <v>237</v>
      </c>
      <c r="F20" s="28"/>
      <c r="G20" s="5"/>
      <c r="H20" s="5"/>
      <c r="I20" s="17"/>
      <c r="J20" s="9"/>
    </row>
    <row r="21" spans="1:10">
      <c r="A21" s="1" t="s">
        <v>217</v>
      </c>
      <c r="B21" s="43" t="s">
        <v>218</v>
      </c>
      <c r="C21" s="43" t="s">
        <v>219</v>
      </c>
      <c r="D21" s="5" t="s">
        <v>238</v>
      </c>
      <c r="E21" s="5" t="s">
        <v>221</v>
      </c>
      <c r="F21" s="44"/>
      <c r="G21" s="5"/>
      <c r="H21" s="5"/>
      <c r="I21" s="9"/>
      <c r="J21" s="9"/>
    </row>
    <row r="22" spans="1:10">
      <c r="A22" s="17" t="s">
        <v>239</v>
      </c>
      <c r="B22" s="45"/>
      <c r="C22" s="45"/>
      <c r="D22" s="46"/>
      <c r="E22" s="46"/>
      <c r="F22" s="44"/>
      <c r="G22" s="5"/>
      <c r="H22" s="5"/>
      <c r="I22" s="9"/>
      <c r="J22" s="9"/>
    </row>
    <row r="23" ht="17.4" spans="1:10">
      <c r="A23" s="47" t="s">
        <v>15</v>
      </c>
      <c r="B23" s="48" t="s">
        <v>16</v>
      </c>
      <c r="C23" s="48" t="s">
        <v>17</v>
      </c>
      <c r="D23" s="49">
        <v>1</v>
      </c>
      <c r="E23" s="49" t="s">
        <v>10</v>
      </c>
      <c r="F23" s="50" t="s">
        <v>240</v>
      </c>
      <c r="G23" s="5"/>
      <c r="H23" s="5"/>
      <c r="I23" s="9"/>
      <c r="J23" s="9"/>
    </row>
    <row r="24" ht="17.4" spans="1:10">
      <c r="A24" s="47" t="s">
        <v>28</v>
      </c>
      <c r="B24" s="48" t="s">
        <v>29</v>
      </c>
      <c r="C24" s="48" t="s">
        <v>17</v>
      </c>
      <c r="D24" s="49">
        <v>3</v>
      </c>
      <c r="E24" s="49" t="s">
        <v>241</v>
      </c>
      <c r="F24" s="51" t="s">
        <v>21</v>
      </c>
      <c r="G24" s="5"/>
      <c r="H24" s="5"/>
      <c r="I24" s="9"/>
      <c r="J24" s="9"/>
    </row>
    <row r="25" ht="17.4" spans="1:10">
      <c r="A25" s="47" t="s">
        <v>37</v>
      </c>
      <c r="B25" s="48" t="s">
        <v>38</v>
      </c>
      <c r="C25" s="48" t="s">
        <v>17</v>
      </c>
      <c r="D25" s="49">
        <v>1</v>
      </c>
      <c r="E25" s="49" t="s">
        <v>224</v>
      </c>
      <c r="F25" s="50" t="s">
        <v>230</v>
      </c>
      <c r="G25" s="5"/>
      <c r="H25" s="5"/>
      <c r="I25" s="9"/>
      <c r="J25" s="9"/>
    </row>
    <row r="26" ht="18" spans="1:10">
      <c r="A26" s="52" t="s">
        <v>55</v>
      </c>
      <c r="B26" s="53" t="s">
        <v>56</v>
      </c>
      <c r="C26" s="53" t="s">
        <v>17</v>
      </c>
      <c r="D26" s="54">
        <v>1</v>
      </c>
      <c r="E26" s="54" t="s">
        <v>224</v>
      </c>
      <c r="F26" s="55" t="s">
        <v>242</v>
      </c>
      <c r="G26" s="56"/>
      <c r="H26" s="56"/>
      <c r="I26" s="9"/>
      <c r="J26" s="9"/>
    </row>
    <row r="27" ht="18" spans="1:10">
      <c r="A27" s="52" t="s">
        <v>57</v>
      </c>
      <c r="B27" s="53" t="s">
        <v>58</v>
      </c>
      <c r="C27" s="53" t="s">
        <v>17</v>
      </c>
      <c r="D27" s="54">
        <v>2</v>
      </c>
      <c r="E27" s="54" t="s">
        <v>243</v>
      </c>
      <c r="F27" s="55" t="s">
        <v>242</v>
      </c>
      <c r="G27" s="56"/>
      <c r="H27" s="56"/>
      <c r="I27" s="9"/>
      <c r="J27" s="9"/>
    </row>
    <row r="28" ht="18" spans="1:10">
      <c r="A28" s="52" t="s">
        <v>59</v>
      </c>
      <c r="B28" s="53" t="s">
        <v>60</v>
      </c>
      <c r="C28" s="53" t="s">
        <v>17</v>
      </c>
      <c r="D28" s="54">
        <v>2</v>
      </c>
      <c r="E28" s="54" t="s">
        <v>243</v>
      </c>
      <c r="F28" s="55" t="s">
        <v>242</v>
      </c>
      <c r="G28" s="56"/>
      <c r="H28" s="56"/>
      <c r="I28" s="9"/>
      <c r="J28" s="9"/>
    </row>
    <row r="29" ht="18" spans="1:10">
      <c r="A29" s="57" t="s">
        <v>59</v>
      </c>
      <c r="B29" s="58" t="s">
        <v>119</v>
      </c>
      <c r="C29" s="58" t="s">
        <v>17</v>
      </c>
      <c r="D29" s="59">
        <v>1</v>
      </c>
      <c r="E29" s="59">
        <v>1</v>
      </c>
      <c r="F29" s="60" t="s">
        <v>115</v>
      </c>
      <c r="G29" s="5"/>
      <c r="H29" s="5"/>
      <c r="I29" s="9"/>
      <c r="J29" s="9"/>
    </row>
    <row r="30" ht="18" spans="1:10">
      <c r="A30" s="57" t="s">
        <v>120</v>
      </c>
      <c r="B30" s="58" t="s">
        <v>121</v>
      </c>
      <c r="C30" s="58" t="s">
        <v>17</v>
      </c>
      <c r="D30" s="59">
        <v>1</v>
      </c>
      <c r="E30" s="59">
        <v>1</v>
      </c>
      <c r="F30" s="60" t="s">
        <v>115</v>
      </c>
      <c r="G30" s="5"/>
      <c r="H30" s="5"/>
      <c r="I30" s="9"/>
      <c r="J30" s="9"/>
    </row>
    <row r="31" s="23" customFormat="1" ht="18" spans="1:10">
      <c r="A31" s="52" t="s">
        <v>59</v>
      </c>
      <c r="B31" s="53" t="s">
        <v>105</v>
      </c>
      <c r="C31" s="53" t="s">
        <v>17</v>
      </c>
      <c r="D31" s="54">
        <v>2</v>
      </c>
      <c r="E31" s="54" t="s">
        <v>243</v>
      </c>
      <c r="F31" s="61" t="s">
        <v>99</v>
      </c>
      <c r="G31" s="56"/>
      <c r="H31" s="56"/>
      <c r="I31" s="84"/>
      <c r="J31" s="84"/>
    </row>
    <row r="32" s="23" customFormat="1" ht="18" spans="1:10">
      <c r="A32" s="52" t="s">
        <v>57</v>
      </c>
      <c r="B32" s="53" t="s">
        <v>109</v>
      </c>
      <c r="C32" s="53" t="s">
        <v>17</v>
      </c>
      <c r="D32" s="54">
        <v>2</v>
      </c>
      <c r="E32" s="54" t="s">
        <v>243</v>
      </c>
      <c r="F32" s="61" t="s">
        <v>99</v>
      </c>
      <c r="G32" s="56"/>
      <c r="H32" s="56"/>
      <c r="I32" s="84"/>
      <c r="J32" s="84"/>
    </row>
    <row r="33" ht="18" spans="1:10">
      <c r="A33" s="57" t="s">
        <v>59</v>
      </c>
      <c r="B33" s="58" t="s">
        <v>134</v>
      </c>
      <c r="C33" s="58" t="s">
        <v>17</v>
      </c>
      <c r="D33" s="59">
        <v>2</v>
      </c>
      <c r="E33" s="59">
        <v>2</v>
      </c>
      <c r="F33" s="60" t="s">
        <v>133</v>
      </c>
      <c r="G33" s="5"/>
      <c r="H33" s="5"/>
      <c r="I33" s="9"/>
      <c r="J33" s="9"/>
    </row>
    <row r="34" ht="18" spans="1:10">
      <c r="A34" s="57" t="s">
        <v>37</v>
      </c>
      <c r="B34" s="58" t="s">
        <v>136</v>
      </c>
      <c r="C34" s="58" t="s">
        <v>17</v>
      </c>
      <c r="D34" s="59">
        <v>1</v>
      </c>
      <c r="E34" s="59">
        <v>1</v>
      </c>
      <c r="F34" s="60" t="s">
        <v>133</v>
      </c>
      <c r="G34" s="5"/>
      <c r="H34" s="5"/>
      <c r="I34" s="9"/>
      <c r="J34" s="9"/>
    </row>
    <row r="35" ht="18" spans="1:10">
      <c r="A35" s="57" t="s">
        <v>137</v>
      </c>
      <c r="B35" s="58" t="s">
        <v>138</v>
      </c>
      <c r="C35" s="58" t="s">
        <v>17</v>
      </c>
      <c r="D35" s="59">
        <v>1</v>
      </c>
      <c r="E35" s="59">
        <v>1</v>
      </c>
      <c r="F35" s="60" t="s">
        <v>133</v>
      </c>
      <c r="G35" s="5"/>
      <c r="H35" s="5"/>
      <c r="I35" s="9"/>
      <c r="J35" s="9"/>
    </row>
    <row r="36" ht="18" spans="1:10">
      <c r="A36" s="57" t="s">
        <v>155</v>
      </c>
      <c r="B36" s="58" t="s">
        <v>156</v>
      </c>
      <c r="C36" s="58" t="s">
        <v>54</v>
      </c>
      <c r="D36" s="59">
        <v>1</v>
      </c>
      <c r="E36" s="59">
        <v>1</v>
      </c>
      <c r="F36" s="60" t="s">
        <v>151</v>
      </c>
      <c r="G36" s="5"/>
      <c r="H36" s="5"/>
      <c r="I36" s="9"/>
      <c r="J36" s="9"/>
    </row>
    <row r="37" ht="17.4" spans="1:10">
      <c r="A37" s="62" t="s">
        <v>79</v>
      </c>
      <c r="B37" s="63" t="s">
        <v>80</v>
      </c>
      <c r="C37" s="63" t="s">
        <v>17</v>
      </c>
      <c r="D37" s="64">
        <v>1</v>
      </c>
      <c r="E37" s="64" t="s">
        <v>224</v>
      </c>
      <c r="F37" s="65" t="s">
        <v>72</v>
      </c>
      <c r="G37" s="5"/>
      <c r="H37" s="5"/>
      <c r="I37" s="9"/>
      <c r="J37" s="9"/>
    </row>
    <row r="38" ht="17.4" spans="1:10">
      <c r="A38" s="62" t="s">
        <v>57</v>
      </c>
      <c r="B38" s="63" t="s">
        <v>84</v>
      </c>
      <c r="C38" s="63" t="s">
        <v>17</v>
      </c>
      <c r="D38" s="64">
        <v>2</v>
      </c>
      <c r="E38" s="64" t="s">
        <v>243</v>
      </c>
      <c r="F38" s="65" t="s">
        <v>72</v>
      </c>
      <c r="G38" s="5"/>
      <c r="H38" s="5"/>
      <c r="I38" s="9"/>
      <c r="J38" s="9"/>
    </row>
    <row r="39" ht="17.4" spans="1:10">
      <c r="A39" s="62" t="s">
        <v>59</v>
      </c>
      <c r="B39" s="63" t="s">
        <v>86</v>
      </c>
      <c r="C39" s="63" t="s">
        <v>17</v>
      </c>
      <c r="D39" s="64">
        <v>2</v>
      </c>
      <c r="E39" s="64" t="s">
        <v>243</v>
      </c>
      <c r="F39" s="65" t="s">
        <v>72</v>
      </c>
      <c r="G39" s="5"/>
      <c r="H39" s="5"/>
      <c r="I39" s="9"/>
      <c r="J39" s="9"/>
    </row>
    <row r="40" ht="18" spans="1:10">
      <c r="A40" s="57" t="s">
        <v>207</v>
      </c>
      <c r="B40" s="58" t="s">
        <v>208</v>
      </c>
      <c r="C40" s="58" t="s">
        <v>199</v>
      </c>
      <c r="D40" s="59">
        <v>1</v>
      </c>
      <c r="E40" s="59">
        <v>1</v>
      </c>
      <c r="F40" s="60" t="s">
        <v>197</v>
      </c>
      <c r="G40" s="5"/>
      <c r="H40" s="5"/>
      <c r="I40" s="9"/>
      <c r="J40" s="9"/>
    </row>
    <row r="41" ht="18" spans="1:10">
      <c r="A41" s="57" t="s">
        <v>209</v>
      </c>
      <c r="B41" s="58" t="s">
        <v>210</v>
      </c>
      <c r="C41" s="58" t="s">
        <v>199</v>
      </c>
      <c r="D41" s="59">
        <v>1</v>
      </c>
      <c r="E41" s="59">
        <v>1</v>
      </c>
      <c r="F41" s="60" t="s">
        <v>197</v>
      </c>
      <c r="G41" s="5"/>
      <c r="H41" s="5"/>
      <c r="I41" s="9"/>
      <c r="J41" s="9"/>
    </row>
    <row r="42" ht="18" spans="1:10">
      <c r="A42" s="57" t="s">
        <v>211</v>
      </c>
      <c r="B42" s="58" t="s">
        <v>212</v>
      </c>
      <c r="C42" s="58" t="s">
        <v>199</v>
      </c>
      <c r="D42" s="59">
        <v>1</v>
      </c>
      <c r="E42" s="59">
        <v>1</v>
      </c>
      <c r="F42" s="60" t="s">
        <v>197</v>
      </c>
      <c r="G42" s="5"/>
      <c r="H42" s="5"/>
      <c r="I42" s="9"/>
      <c r="J42" s="9"/>
    </row>
    <row r="43" ht="18" spans="1:6">
      <c r="A43" s="66" t="s">
        <v>49</v>
      </c>
      <c r="B43" s="67" t="s">
        <v>50</v>
      </c>
      <c r="C43" s="67" t="s">
        <v>17</v>
      </c>
      <c r="D43" s="68">
        <v>2</v>
      </c>
      <c r="E43" s="68">
        <v>2</v>
      </c>
      <c r="F43" s="69" t="s">
        <v>227</v>
      </c>
    </row>
    <row r="44" spans="1:6">
      <c r="A44" s="70" t="s">
        <v>244</v>
      </c>
      <c r="B44" s="71"/>
      <c r="C44" s="71"/>
      <c r="D44" s="72"/>
      <c r="E44" s="72"/>
      <c r="F44" s="73"/>
    </row>
    <row r="45" ht="18" spans="1:6">
      <c r="A45" s="66" t="s">
        <v>49</v>
      </c>
      <c r="B45" s="67" t="s">
        <v>50</v>
      </c>
      <c r="C45" s="67" t="s">
        <v>17</v>
      </c>
      <c r="D45" s="68">
        <v>2</v>
      </c>
      <c r="E45" s="68" t="s">
        <v>243</v>
      </c>
      <c r="F45" s="69" t="s">
        <v>227</v>
      </c>
    </row>
    <row r="46" ht="17.4" spans="1:6">
      <c r="A46" s="74" t="s">
        <v>102</v>
      </c>
      <c r="B46" s="48" t="s">
        <v>103</v>
      </c>
      <c r="C46" s="48" t="s">
        <v>17</v>
      </c>
      <c r="D46" s="49">
        <v>1</v>
      </c>
      <c r="E46" s="49">
        <v>1</v>
      </c>
      <c r="F46" s="51" t="s">
        <v>232</v>
      </c>
    </row>
    <row r="47" ht="18" spans="1:6">
      <c r="A47" s="66" t="s">
        <v>97</v>
      </c>
      <c r="B47" s="67" t="s">
        <v>98</v>
      </c>
      <c r="C47" s="67" t="s">
        <v>17</v>
      </c>
      <c r="D47" s="68">
        <v>2</v>
      </c>
      <c r="E47" s="68" t="s">
        <v>243</v>
      </c>
      <c r="F47" s="75" t="s">
        <v>99</v>
      </c>
    </row>
    <row r="48" ht="18" spans="1:6">
      <c r="A48" s="66" t="s">
        <v>49</v>
      </c>
      <c r="B48" s="67" t="s">
        <v>144</v>
      </c>
      <c r="C48" s="67" t="s">
        <v>17</v>
      </c>
      <c r="D48" s="68">
        <v>1</v>
      </c>
      <c r="E48" s="68">
        <v>1</v>
      </c>
      <c r="F48" s="50" t="s">
        <v>145</v>
      </c>
    </row>
    <row r="49" ht="17.4" spans="1:6">
      <c r="A49" s="74" t="s">
        <v>49</v>
      </c>
      <c r="B49" s="48" t="s">
        <v>71</v>
      </c>
      <c r="C49" s="48" t="s">
        <v>17</v>
      </c>
      <c r="D49" s="49">
        <v>2</v>
      </c>
      <c r="E49" s="49" t="s">
        <v>243</v>
      </c>
      <c r="F49" s="50" t="s">
        <v>72</v>
      </c>
    </row>
    <row r="50" ht="18" spans="1:6">
      <c r="A50" s="76" t="s">
        <v>49</v>
      </c>
      <c r="B50" s="77" t="s">
        <v>168</v>
      </c>
      <c r="C50" s="77" t="s">
        <v>17</v>
      </c>
      <c r="D50" s="78">
        <v>2</v>
      </c>
      <c r="E50" s="78">
        <v>2</v>
      </c>
      <c r="F50" s="79" t="s">
        <v>169</v>
      </c>
    </row>
    <row r="51" ht="18" spans="1:6">
      <c r="A51" s="66" t="s">
        <v>49</v>
      </c>
      <c r="B51" s="67" t="s">
        <v>198</v>
      </c>
      <c r="C51" s="67" t="s">
        <v>199</v>
      </c>
      <c r="D51" s="68">
        <v>4</v>
      </c>
      <c r="E51" s="68">
        <v>4</v>
      </c>
      <c r="F51" s="75" t="s">
        <v>197</v>
      </c>
    </row>
    <row r="52" ht="18" spans="1:6">
      <c r="A52" s="66" t="s">
        <v>194</v>
      </c>
      <c r="B52" s="67" t="s">
        <v>195</v>
      </c>
      <c r="C52" s="67" t="s">
        <v>196</v>
      </c>
      <c r="D52" s="68">
        <v>2</v>
      </c>
      <c r="E52" s="68">
        <v>2</v>
      </c>
      <c r="F52" s="75" t="s">
        <v>197</v>
      </c>
    </row>
    <row r="53" spans="1:6">
      <c r="A53" s="70" t="s">
        <v>206</v>
      </c>
      <c r="B53" s="71"/>
      <c r="C53" s="71"/>
      <c r="D53" s="72"/>
      <c r="E53" s="72"/>
      <c r="F53" s="73"/>
    </row>
    <row r="54" ht="18" spans="1:6">
      <c r="A54" s="80" t="s">
        <v>52</v>
      </c>
      <c r="B54" s="67" t="s">
        <v>53</v>
      </c>
      <c r="C54" s="67" t="s">
        <v>54</v>
      </c>
      <c r="D54" s="68">
        <v>2</v>
      </c>
      <c r="E54" s="68" t="s">
        <v>243</v>
      </c>
      <c r="F54" s="69" t="s">
        <v>227</v>
      </c>
    </row>
    <row r="55" ht="18" spans="1:6">
      <c r="A55" s="66" t="s">
        <v>75</v>
      </c>
      <c r="B55" s="67" t="s">
        <v>101</v>
      </c>
      <c r="C55" s="67" t="s">
        <v>54</v>
      </c>
      <c r="D55" s="68">
        <v>2</v>
      </c>
      <c r="E55" s="68" t="s">
        <v>243</v>
      </c>
      <c r="F55" s="75" t="s">
        <v>99</v>
      </c>
    </row>
    <row r="56" ht="18" spans="1:6">
      <c r="A56" s="66" t="s">
        <v>75</v>
      </c>
      <c r="B56" s="67" t="s">
        <v>132</v>
      </c>
      <c r="C56" s="67" t="s">
        <v>54</v>
      </c>
      <c r="D56" s="68">
        <v>1</v>
      </c>
      <c r="E56" s="68">
        <v>1</v>
      </c>
      <c r="F56" s="75" t="s">
        <v>133</v>
      </c>
    </row>
    <row r="57" ht="17.4" spans="1:6">
      <c r="A57" s="74" t="s">
        <v>75</v>
      </c>
      <c r="B57" s="48" t="s">
        <v>76</v>
      </c>
      <c r="C57" s="48" t="s">
        <v>54</v>
      </c>
      <c r="D57" s="49">
        <v>2</v>
      </c>
      <c r="E57" s="49" t="s">
        <v>243</v>
      </c>
      <c r="F57" s="50" t="s">
        <v>72</v>
      </c>
    </row>
    <row r="58" ht="18" spans="1:6">
      <c r="A58" s="74" t="s">
        <v>75</v>
      </c>
      <c r="B58" s="67" t="s">
        <v>206</v>
      </c>
      <c r="C58" s="67" t="s">
        <v>199</v>
      </c>
      <c r="D58" s="68">
        <v>1</v>
      </c>
      <c r="E58" s="68">
        <v>1</v>
      </c>
      <c r="F58" s="75" t="s">
        <v>197</v>
      </c>
    </row>
    <row r="59" spans="1:6">
      <c r="A59" s="70" t="s">
        <v>245</v>
      </c>
      <c r="B59" s="71"/>
      <c r="C59" s="71"/>
      <c r="D59" s="72"/>
      <c r="E59" s="72"/>
      <c r="F59" s="73"/>
    </row>
    <row r="60" ht="18" spans="1:6">
      <c r="A60" s="66" t="s">
        <v>61</v>
      </c>
      <c r="B60" s="67" t="s">
        <v>62</v>
      </c>
      <c r="C60" s="67" t="s">
        <v>63</v>
      </c>
      <c r="D60" s="68">
        <v>1</v>
      </c>
      <c r="E60" s="68" t="s">
        <v>224</v>
      </c>
      <c r="F60" s="69" t="s">
        <v>246</v>
      </c>
    </row>
    <row r="61" ht="18" spans="1:6">
      <c r="A61" s="66" t="s">
        <v>61</v>
      </c>
      <c r="B61" s="67" t="s">
        <v>111</v>
      </c>
      <c r="C61" s="67" t="s">
        <v>63</v>
      </c>
      <c r="D61" s="68">
        <v>1</v>
      </c>
      <c r="E61" s="68" t="s">
        <v>224</v>
      </c>
      <c r="F61" s="75" t="s">
        <v>99</v>
      </c>
    </row>
    <row r="62" ht="17.4" spans="1:6">
      <c r="A62" s="74" t="s">
        <v>89</v>
      </c>
      <c r="B62" s="48" t="s">
        <v>90</v>
      </c>
      <c r="C62" s="48" t="s">
        <v>63</v>
      </c>
      <c r="D62" s="49">
        <v>1</v>
      </c>
      <c r="E62" s="49" t="s">
        <v>224</v>
      </c>
      <c r="F62" s="50" t="s">
        <v>72</v>
      </c>
    </row>
    <row r="63" ht="18" spans="1:6">
      <c r="A63" s="76" t="s">
        <v>170</v>
      </c>
      <c r="B63" s="77" t="s">
        <v>171</v>
      </c>
      <c r="C63" s="77" t="s">
        <v>63</v>
      </c>
      <c r="D63" s="78">
        <v>1</v>
      </c>
      <c r="E63" s="78">
        <v>1</v>
      </c>
      <c r="F63" s="79" t="s">
        <v>169</v>
      </c>
    </row>
    <row r="64" ht="18" spans="1:6">
      <c r="A64" s="81" t="s">
        <v>213</v>
      </c>
      <c r="B64" s="82" t="s">
        <v>92</v>
      </c>
      <c r="C64" s="82" t="s">
        <v>214</v>
      </c>
      <c r="D64" s="83">
        <v>1</v>
      </c>
      <c r="E64" s="83">
        <v>1</v>
      </c>
      <c r="F64" s="75" t="s">
        <v>197</v>
      </c>
    </row>
    <row r="65" ht="18" spans="1:6">
      <c r="A65" s="66" t="s">
        <v>215</v>
      </c>
      <c r="B65" s="67" t="s">
        <v>216</v>
      </c>
      <c r="C65" s="67" t="s">
        <v>63</v>
      </c>
      <c r="D65" s="68">
        <v>1</v>
      </c>
      <c r="E65" s="68">
        <v>1</v>
      </c>
      <c r="F65" s="75" t="s">
        <v>197</v>
      </c>
    </row>
    <row r="66" spans="1:6">
      <c r="A66" s="70" t="s">
        <v>247</v>
      </c>
      <c r="B66" s="71"/>
      <c r="C66" s="71"/>
      <c r="D66" s="72"/>
      <c r="E66" s="72"/>
      <c r="F66" s="73"/>
    </row>
    <row r="67" ht="18" spans="1:6">
      <c r="A67" s="66" t="s">
        <v>112</v>
      </c>
      <c r="B67" s="67" t="s">
        <v>113</v>
      </c>
      <c r="C67" s="67" t="s">
        <v>114</v>
      </c>
      <c r="D67" s="68">
        <v>1</v>
      </c>
      <c r="E67" s="68">
        <v>1</v>
      </c>
      <c r="F67" s="75" t="s">
        <v>248</v>
      </c>
    </row>
    <row r="68" ht="18" spans="1:6">
      <c r="A68" s="66" t="s">
        <v>112</v>
      </c>
      <c r="B68" s="67" t="s">
        <v>150</v>
      </c>
      <c r="C68" s="67" t="s">
        <v>114</v>
      </c>
      <c r="D68" s="68">
        <v>1</v>
      </c>
      <c r="E68" s="68">
        <v>1</v>
      </c>
      <c r="F68" s="75" t="s">
        <v>151</v>
      </c>
    </row>
    <row r="69" ht="18" spans="1:6">
      <c r="A69" s="66" t="s">
        <v>200</v>
      </c>
      <c r="B69" s="67" t="s">
        <v>201</v>
      </c>
      <c r="C69" s="67" t="s">
        <v>202</v>
      </c>
      <c r="D69" s="68">
        <v>1</v>
      </c>
      <c r="E69" s="68">
        <v>1</v>
      </c>
      <c r="F69" s="75" t="s">
        <v>249</v>
      </c>
    </row>
    <row r="70" spans="1:6">
      <c r="A70" s="70" t="s">
        <v>250</v>
      </c>
      <c r="B70" s="71"/>
      <c r="C70" s="71"/>
      <c r="D70" s="72"/>
      <c r="E70" s="72"/>
      <c r="F70" s="73"/>
    </row>
    <row r="71" ht="18" spans="1:6">
      <c r="A71" s="66" t="s">
        <v>251</v>
      </c>
      <c r="B71" s="67" t="s">
        <v>117</v>
      </c>
      <c r="C71" s="67" t="s">
        <v>118</v>
      </c>
      <c r="D71" s="68">
        <v>1</v>
      </c>
      <c r="E71" s="68">
        <v>1</v>
      </c>
      <c r="F71" s="75" t="s">
        <v>252</v>
      </c>
    </row>
    <row r="72" ht="18" spans="1:6">
      <c r="A72" s="66" t="s">
        <v>251</v>
      </c>
      <c r="B72" s="67" t="s">
        <v>152</v>
      </c>
      <c r="C72" s="67" t="s">
        <v>118</v>
      </c>
      <c r="D72" s="68">
        <v>1</v>
      </c>
      <c r="E72" s="68">
        <v>1</v>
      </c>
      <c r="F72" s="75" t="s">
        <v>151</v>
      </c>
    </row>
    <row r="73" spans="1:6">
      <c r="A73" s="70" t="s">
        <v>253</v>
      </c>
      <c r="B73" s="71"/>
      <c r="C73" s="71"/>
      <c r="D73" s="72"/>
      <c r="E73" s="72"/>
      <c r="F73" s="73"/>
    </row>
    <row r="74" ht="18" spans="1:6">
      <c r="A74" s="66" t="s">
        <v>203</v>
      </c>
      <c r="B74" s="67" t="s">
        <v>204</v>
      </c>
      <c r="C74" s="67" t="s">
        <v>205</v>
      </c>
      <c r="D74" s="68">
        <v>1</v>
      </c>
      <c r="E74" s="68">
        <v>1</v>
      </c>
      <c r="F74" s="75" t="s">
        <v>197</v>
      </c>
    </row>
    <row r="75" ht="18" spans="1:6">
      <c r="A75" s="80" t="s">
        <v>191</v>
      </c>
      <c r="B75" s="85" t="s">
        <v>192</v>
      </c>
      <c r="C75" s="85" t="s">
        <v>254</v>
      </c>
      <c r="D75" s="86">
        <v>1</v>
      </c>
      <c r="E75" s="86">
        <v>1</v>
      </c>
      <c r="F75" s="87" t="s">
        <v>237</v>
      </c>
    </row>
  </sheetData>
  <autoFilter ref="A1:F75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13" workbookViewId="0">
      <selection activeCell="E31" sqref="E31"/>
    </sheetView>
  </sheetViews>
  <sheetFormatPr defaultColWidth="8.88888888888889" defaultRowHeight="14.4"/>
  <cols>
    <col min="2" max="2" width="20.6666666666667" customWidth="1"/>
    <col min="3" max="3" width="16.6666666666667" customWidth="1"/>
  </cols>
  <sheetData>
    <row r="1" ht="17.4" spans="1:10">
      <c r="A1" s="1" t="s">
        <v>217</v>
      </c>
      <c r="B1" s="2" t="s">
        <v>218</v>
      </c>
      <c r="C1" s="2" t="s">
        <v>219</v>
      </c>
      <c r="D1" s="3" t="s">
        <v>220</v>
      </c>
      <c r="E1" s="3" t="s">
        <v>255</v>
      </c>
      <c r="F1" s="4" t="s">
        <v>222</v>
      </c>
      <c r="G1" s="5"/>
      <c r="H1" s="5"/>
      <c r="I1" s="9"/>
      <c r="J1" s="9"/>
    </row>
    <row r="2" ht="52.2" spans="1:10">
      <c r="A2" s="5" t="s">
        <v>256</v>
      </c>
      <c r="B2" s="6" t="s">
        <v>257</v>
      </c>
      <c r="C2" s="6" t="s">
        <v>12</v>
      </c>
      <c r="D2" s="7"/>
      <c r="E2" s="3">
        <v>2400</v>
      </c>
      <c r="F2" s="5"/>
      <c r="G2" s="5"/>
      <c r="H2" s="5"/>
      <c r="I2" s="9"/>
      <c r="J2" s="9"/>
    </row>
    <row r="3" ht="34.8" spans="1:10">
      <c r="A3" s="5"/>
      <c r="B3" s="6" t="s">
        <v>258</v>
      </c>
      <c r="C3" s="6" t="s">
        <v>19</v>
      </c>
      <c r="D3" s="8"/>
      <c r="E3" s="3">
        <v>1400</v>
      </c>
      <c r="F3" s="9" t="s">
        <v>259</v>
      </c>
      <c r="G3" s="5" t="s">
        <v>260</v>
      </c>
      <c r="H3" s="5" t="s">
        <v>261</v>
      </c>
      <c r="I3" s="9" t="s">
        <v>262</v>
      </c>
      <c r="J3" s="9" t="s">
        <v>263</v>
      </c>
    </row>
    <row r="4" ht="17.4" spans="1:10">
      <c r="A4" s="5"/>
      <c r="B4" s="6" t="s">
        <v>167</v>
      </c>
      <c r="C4" s="6" t="s">
        <v>166</v>
      </c>
      <c r="D4" s="8"/>
      <c r="E4" s="3">
        <v>200</v>
      </c>
      <c r="F4" s="10" t="s">
        <v>264</v>
      </c>
      <c r="G4" s="5">
        <v>14</v>
      </c>
      <c r="H4" s="5">
        <v>1</v>
      </c>
      <c r="I4" s="9"/>
      <c r="J4" s="9"/>
    </row>
    <row r="5" ht="34.8" spans="1:10">
      <c r="A5" s="5" t="s">
        <v>265</v>
      </c>
      <c r="B5" s="11" t="s">
        <v>8</v>
      </c>
      <c r="C5" s="11" t="s">
        <v>7</v>
      </c>
      <c r="D5" s="12" t="s">
        <v>10</v>
      </c>
      <c r="E5" s="3">
        <v>600</v>
      </c>
      <c r="F5" s="10" t="s">
        <v>264</v>
      </c>
      <c r="G5" s="5">
        <v>10</v>
      </c>
      <c r="H5" s="5">
        <v>1</v>
      </c>
      <c r="I5" s="9"/>
      <c r="J5" s="9"/>
    </row>
    <row r="6" ht="34.8" spans="1:10">
      <c r="A6" s="5"/>
      <c r="B6" s="11" t="s">
        <v>65</v>
      </c>
      <c r="C6" s="11" t="s">
        <v>64</v>
      </c>
      <c r="D6" s="12">
        <v>1</v>
      </c>
      <c r="E6" s="3">
        <v>200</v>
      </c>
      <c r="F6" s="10" t="s">
        <v>264</v>
      </c>
      <c r="G6" s="5">
        <v>8</v>
      </c>
      <c r="H6" s="5">
        <v>2</v>
      </c>
      <c r="I6" s="9"/>
      <c r="J6" s="9"/>
    </row>
    <row r="7" ht="34.8" spans="1:10">
      <c r="A7" s="5"/>
      <c r="B7" s="11" t="s">
        <v>190</v>
      </c>
      <c r="C7" s="11" t="s">
        <v>189</v>
      </c>
      <c r="D7" s="12">
        <v>2</v>
      </c>
      <c r="E7" s="3">
        <v>400</v>
      </c>
      <c r="F7" s="10" t="s">
        <v>264</v>
      </c>
      <c r="G7" s="5">
        <v>7</v>
      </c>
      <c r="H7" s="5">
        <v>1</v>
      </c>
      <c r="I7" s="9"/>
      <c r="J7" s="9"/>
    </row>
    <row r="8" ht="34.8" spans="1:8">
      <c r="A8" s="5" t="s">
        <v>259</v>
      </c>
      <c r="B8" s="11" t="s">
        <v>74</v>
      </c>
      <c r="C8" s="11" t="s">
        <v>73</v>
      </c>
      <c r="D8" s="12"/>
      <c r="E8" s="13" t="s">
        <v>266</v>
      </c>
      <c r="F8" s="10" t="s">
        <v>264</v>
      </c>
      <c r="G8" s="14">
        <v>6</v>
      </c>
      <c r="H8" s="14">
        <v>1</v>
      </c>
    </row>
    <row r="9" ht="34.8" spans="1:10">
      <c r="A9" s="5"/>
      <c r="B9" s="11" t="s">
        <v>182</v>
      </c>
      <c r="C9" s="11" t="s">
        <v>181</v>
      </c>
      <c r="D9" s="12"/>
      <c r="E9" s="13" t="s">
        <v>266</v>
      </c>
      <c r="F9" s="10" t="s">
        <v>264</v>
      </c>
      <c r="G9" s="5">
        <v>4</v>
      </c>
      <c r="H9" s="5">
        <v>2</v>
      </c>
      <c r="I9" s="9"/>
      <c r="J9" s="9"/>
    </row>
    <row r="10" ht="69.6" spans="1:10">
      <c r="A10" s="5"/>
      <c r="B10" s="11" t="s">
        <v>178</v>
      </c>
      <c r="C10" s="11" t="s">
        <v>177</v>
      </c>
      <c r="D10" s="15"/>
      <c r="E10" s="13" t="s">
        <v>266</v>
      </c>
      <c r="F10" s="10" t="s">
        <v>264</v>
      </c>
      <c r="G10" s="5">
        <v>3</v>
      </c>
      <c r="H10" s="5">
        <v>1</v>
      </c>
      <c r="I10" s="17">
        <v>64</v>
      </c>
      <c r="J10" s="9">
        <f>I10*200/40</f>
        <v>320</v>
      </c>
    </row>
    <row r="11" ht="34.8" spans="1:10">
      <c r="A11" s="5"/>
      <c r="B11" s="11" t="s">
        <v>186</v>
      </c>
      <c r="C11" s="11" t="s">
        <v>185</v>
      </c>
      <c r="D11" s="12"/>
      <c r="E11" s="13" t="s">
        <v>266</v>
      </c>
      <c r="F11" s="16" t="s">
        <v>267</v>
      </c>
      <c r="G11" s="5">
        <v>14</v>
      </c>
      <c r="H11" s="5">
        <v>1</v>
      </c>
      <c r="I11" s="9"/>
      <c r="J11" s="9"/>
    </row>
    <row r="12" ht="34.8" spans="1:10">
      <c r="A12" s="5"/>
      <c r="B12" s="11" t="s">
        <v>184</v>
      </c>
      <c r="C12" s="11" t="s">
        <v>183</v>
      </c>
      <c r="D12" s="12"/>
      <c r="E12" s="13" t="s">
        <v>266</v>
      </c>
      <c r="F12" s="16" t="s">
        <v>267</v>
      </c>
      <c r="G12" s="5">
        <v>8</v>
      </c>
      <c r="H12" s="5">
        <v>1</v>
      </c>
      <c r="I12" s="9"/>
      <c r="J12" s="9"/>
    </row>
    <row r="13" ht="34.8" spans="1:10">
      <c r="A13" s="5"/>
      <c r="B13" s="11" t="s">
        <v>176</v>
      </c>
      <c r="C13" s="11" t="s">
        <v>175</v>
      </c>
      <c r="D13" s="12"/>
      <c r="E13" s="13" t="s">
        <v>266</v>
      </c>
      <c r="F13" s="16" t="s">
        <v>267</v>
      </c>
      <c r="G13" s="5">
        <v>4</v>
      </c>
      <c r="H13" s="5">
        <v>3</v>
      </c>
      <c r="I13" s="9"/>
      <c r="J13" s="9"/>
    </row>
    <row r="14" ht="34.8" spans="1:10">
      <c r="A14" s="5"/>
      <c r="B14" s="11" t="s">
        <v>188</v>
      </c>
      <c r="C14" s="11" t="s">
        <v>187</v>
      </c>
      <c r="D14" s="12"/>
      <c r="E14" s="13" t="s">
        <v>266</v>
      </c>
      <c r="F14" s="16" t="s">
        <v>267</v>
      </c>
      <c r="G14" s="5">
        <v>3</v>
      </c>
      <c r="H14" s="5">
        <v>1</v>
      </c>
      <c r="I14" s="17">
        <v>37</v>
      </c>
      <c r="J14" s="9">
        <f t="shared" ref="J14:J19" si="0">I14*200/40</f>
        <v>185</v>
      </c>
    </row>
    <row r="15" ht="34.8" spans="1:10">
      <c r="A15" s="5"/>
      <c r="B15" s="11" t="s">
        <v>180</v>
      </c>
      <c r="C15" s="11" t="s">
        <v>179</v>
      </c>
      <c r="D15" s="12"/>
      <c r="E15" s="13" t="s">
        <v>266</v>
      </c>
      <c r="F15" s="17" t="s">
        <v>268</v>
      </c>
      <c r="G15" s="5">
        <v>14</v>
      </c>
      <c r="H15" s="5">
        <v>1</v>
      </c>
      <c r="I15" s="9"/>
      <c r="J15" s="9"/>
    </row>
    <row r="16" ht="34.8" spans="1:10">
      <c r="A16" s="5"/>
      <c r="B16" s="18" t="s">
        <v>69</v>
      </c>
      <c r="C16" s="18" t="s">
        <v>269</v>
      </c>
      <c r="D16" s="19"/>
      <c r="E16" s="20" t="s">
        <v>270</v>
      </c>
      <c r="F16" s="17" t="s">
        <v>268</v>
      </c>
      <c r="G16" s="5">
        <v>8</v>
      </c>
      <c r="H16" s="5">
        <v>1</v>
      </c>
      <c r="I16" s="5"/>
      <c r="J16" s="9"/>
    </row>
    <row r="17" spans="1:10">
      <c r="A17" s="21"/>
      <c r="B17" s="21"/>
      <c r="C17" s="21"/>
      <c r="D17" s="5"/>
      <c r="E17" s="5"/>
      <c r="F17" s="17" t="s">
        <v>268</v>
      </c>
      <c r="G17" s="5">
        <v>4</v>
      </c>
      <c r="H17" s="5">
        <v>2</v>
      </c>
      <c r="I17" s="9"/>
      <c r="J17" s="9"/>
    </row>
    <row r="18" spans="1:10">
      <c r="A18" s="21"/>
      <c r="B18" s="21"/>
      <c r="C18" s="21"/>
      <c r="D18" s="5"/>
      <c r="E18" s="5"/>
      <c r="F18" s="17" t="s">
        <v>268</v>
      </c>
      <c r="G18" s="5">
        <v>3</v>
      </c>
      <c r="H18" s="5">
        <v>3</v>
      </c>
      <c r="I18" s="17">
        <v>39</v>
      </c>
      <c r="J18" s="9">
        <f t="shared" si="0"/>
        <v>195</v>
      </c>
    </row>
    <row r="19" spans="1:10">
      <c r="A19" s="21"/>
      <c r="B19" s="21"/>
      <c r="C19" s="21"/>
      <c r="D19" s="5"/>
      <c r="E19" s="5"/>
      <c r="F19" s="22" t="s">
        <v>271</v>
      </c>
      <c r="G19" s="5">
        <v>4</v>
      </c>
      <c r="H19" s="5">
        <v>3</v>
      </c>
      <c r="I19" s="17">
        <v>12</v>
      </c>
      <c r="J19" s="9">
        <f t="shared" si="0"/>
        <v>60</v>
      </c>
    </row>
  </sheetData>
  <mergeCells count="3">
    <mergeCell ref="A2:A4"/>
    <mergeCell ref="A5:A7"/>
    <mergeCell ref="A8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15个34级模块BOM表</vt:lpstr>
      <vt:lpstr>34级元件采购表</vt:lpstr>
      <vt:lpstr>排线插针et1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2021-09-15T08:04:00Z</dcterms:created>
  <dcterms:modified xsi:type="dcterms:W3CDTF">2022-10-17T03:59:22Z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6B01EF2C603048BFBD919DDE80208919</vt:lpwstr>
  </property>
  <property fmtid="{D5CDD505-2E9C-101B-9397-08002B2CF9AE}" pid="3" name="KSOProductBuildVer">
    <vt:lpwstr>2052-11.1.0.12358</vt:lpwstr>
  </property>
</Properties>
</file>